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a5cef570f93ac02/Data Analysis/Data Analysis ^0 Business Intelligence Internship Course/CV DATA PROJECT/Digital Echoes Analysis project/"/>
    </mc:Choice>
  </mc:AlternateContent>
  <xr:revisionPtr revIDLastSave="0" documentId="8_{D5C398EA-A5EC-4B04-B8EB-DC555C200207}" xr6:coauthVersionLast="47" xr6:coauthVersionMax="47" xr10:uidLastSave="{00000000-0000-0000-0000-000000000000}"/>
  <bookViews>
    <workbookView xWindow="-108" yWindow="-108" windowWidth="23256" windowHeight="13896" xr2:uid="{F7A68809-2136-46C4-880B-10DEC519371C}"/>
  </bookViews>
  <sheets>
    <sheet name="AdsPerformanc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09" i="1" l="1"/>
  <c r="N209" i="1"/>
  <c r="M209" i="1"/>
  <c r="L209" i="1"/>
  <c r="K209" i="1"/>
  <c r="H209" i="1"/>
  <c r="O208" i="1"/>
  <c r="N208" i="1"/>
  <c r="M208" i="1"/>
  <c r="L208" i="1"/>
  <c r="K208" i="1"/>
  <c r="H208" i="1"/>
  <c r="O207" i="1"/>
  <c r="N207" i="1"/>
  <c r="M207" i="1"/>
  <c r="L207" i="1"/>
  <c r="K207" i="1"/>
  <c r="H207" i="1"/>
  <c r="O206" i="1"/>
  <c r="N206" i="1"/>
  <c r="M206" i="1"/>
  <c r="L206" i="1"/>
  <c r="K206" i="1"/>
  <c r="H206" i="1"/>
  <c r="O205" i="1"/>
  <c r="N205" i="1"/>
  <c r="M205" i="1"/>
  <c r="L205" i="1"/>
  <c r="K205" i="1"/>
  <c r="H205" i="1"/>
  <c r="O204" i="1"/>
  <c r="N204" i="1"/>
  <c r="M204" i="1"/>
  <c r="L204" i="1"/>
  <c r="K204" i="1"/>
  <c r="H204" i="1"/>
  <c r="O203" i="1"/>
  <c r="N203" i="1"/>
  <c r="M203" i="1"/>
  <c r="L203" i="1"/>
  <c r="K203" i="1"/>
  <c r="H203" i="1"/>
  <c r="O202" i="1"/>
  <c r="N202" i="1"/>
  <c r="M202" i="1"/>
  <c r="L202" i="1"/>
  <c r="K202" i="1"/>
  <c r="H202" i="1"/>
  <c r="O201" i="1"/>
  <c r="N201" i="1"/>
  <c r="M201" i="1"/>
  <c r="L201" i="1"/>
  <c r="K201" i="1"/>
  <c r="H201" i="1"/>
  <c r="O200" i="1"/>
  <c r="N200" i="1"/>
  <c r="M200" i="1"/>
  <c r="L200" i="1"/>
  <c r="K200" i="1"/>
  <c r="H200" i="1"/>
  <c r="O199" i="1"/>
  <c r="N199" i="1"/>
  <c r="M199" i="1"/>
  <c r="L199" i="1"/>
  <c r="K199" i="1"/>
  <c r="H199" i="1"/>
  <c r="O198" i="1"/>
  <c r="N198" i="1"/>
  <c r="M198" i="1"/>
  <c r="L198" i="1"/>
  <c r="K198" i="1"/>
  <c r="H198" i="1"/>
  <c r="O197" i="1"/>
  <c r="N197" i="1"/>
  <c r="M197" i="1"/>
  <c r="L197" i="1"/>
  <c r="K197" i="1"/>
  <c r="H197" i="1"/>
  <c r="O196" i="1"/>
  <c r="N196" i="1"/>
  <c r="M196" i="1"/>
  <c r="L196" i="1"/>
  <c r="K196" i="1"/>
  <c r="H196" i="1"/>
  <c r="O195" i="1"/>
  <c r="N195" i="1"/>
  <c r="M195" i="1"/>
  <c r="L195" i="1"/>
  <c r="K195" i="1"/>
  <c r="H195" i="1"/>
  <c r="O194" i="1"/>
  <c r="N194" i="1"/>
  <c r="M194" i="1"/>
  <c r="L194" i="1"/>
  <c r="K194" i="1"/>
  <c r="H194" i="1"/>
  <c r="O193" i="1"/>
  <c r="N193" i="1"/>
  <c r="M193" i="1"/>
  <c r="L193" i="1"/>
  <c r="K193" i="1"/>
  <c r="H193" i="1"/>
  <c r="O192" i="1"/>
  <c r="N192" i="1"/>
  <c r="M192" i="1"/>
  <c r="L192" i="1"/>
  <c r="K192" i="1"/>
  <c r="H192" i="1"/>
  <c r="O191" i="1"/>
  <c r="N191" i="1"/>
  <c r="M191" i="1"/>
  <c r="L191" i="1"/>
  <c r="K191" i="1"/>
  <c r="H191" i="1"/>
  <c r="O190" i="1"/>
  <c r="N190" i="1"/>
  <c r="M190" i="1"/>
  <c r="L190" i="1"/>
  <c r="K190" i="1"/>
  <c r="H190" i="1"/>
  <c r="O189" i="1"/>
  <c r="N189" i="1"/>
  <c r="M189" i="1"/>
  <c r="L189" i="1"/>
  <c r="K189" i="1"/>
  <c r="H189" i="1"/>
  <c r="O188" i="1"/>
  <c r="N188" i="1"/>
  <c r="M188" i="1"/>
  <c r="L188" i="1"/>
  <c r="K188" i="1"/>
  <c r="H188" i="1"/>
  <c r="O187" i="1"/>
  <c r="N187" i="1"/>
  <c r="M187" i="1"/>
  <c r="L187" i="1"/>
  <c r="K187" i="1"/>
  <c r="H187" i="1"/>
  <c r="O186" i="1"/>
  <c r="N186" i="1"/>
  <c r="M186" i="1"/>
  <c r="L186" i="1"/>
  <c r="K186" i="1"/>
  <c r="H186" i="1"/>
  <c r="O185" i="1"/>
  <c r="N185" i="1"/>
  <c r="M185" i="1"/>
  <c r="L185" i="1"/>
  <c r="K185" i="1"/>
  <c r="H185" i="1"/>
  <c r="O184" i="1"/>
  <c r="N184" i="1"/>
  <c r="M184" i="1"/>
  <c r="L184" i="1"/>
  <c r="K184" i="1"/>
  <c r="H184" i="1"/>
  <c r="O183" i="1"/>
  <c r="N183" i="1"/>
  <c r="M183" i="1"/>
  <c r="L183" i="1"/>
  <c r="K183" i="1"/>
  <c r="H183" i="1"/>
  <c r="O182" i="1"/>
  <c r="N182" i="1"/>
  <c r="M182" i="1"/>
  <c r="L182" i="1"/>
  <c r="K182" i="1"/>
  <c r="H182" i="1"/>
  <c r="O181" i="1"/>
  <c r="N181" i="1"/>
  <c r="M181" i="1"/>
  <c r="L181" i="1"/>
  <c r="K181" i="1"/>
  <c r="H181" i="1"/>
  <c r="O180" i="1"/>
  <c r="N180" i="1"/>
  <c r="M180" i="1"/>
  <c r="L180" i="1"/>
  <c r="K180" i="1"/>
  <c r="H180" i="1"/>
  <c r="O179" i="1"/>
  <c r="N179" i="1"/>
  <c r="M179" i="1"/>
  <c r="L179" i="1"/>
  <c r="K179" i="1"/>
  <c r="H179" i="1"/>
  <c r="O178" i="1"/>
  <c r="N178" i="1"/>
  <c r="M178" i="1"/>
  <c r="L178" i="1"/>
  <c r="K178" i="1"/>
  <c r="H178" i="1"/>
  <c r="O177" i="1"/>
  <c r="N177" i="1"/>
  <c r="M177" i="1"/>
  <c r="L177" i="1"/>
  <c r="K177" i="1"/>
  <c r="H177" i="1"/>
  <c r="O176" i="1"/>
  <c r="N176" i="1"/>
  <c r="M176" i="1"/>
  <c r="L176" i="1"/>
  <c r="K176" i="1"/>
  <c r="H176" i="1"/>
  <c r="O175" i="1"/>
  <c r="N175" i="1"/>
  <c r="M175" i="1"/>
  <c r="L175" i="1"/>
  <c r="K175" i="1"/>
  <c r="H175" i="1"/>
  <c r="O174" i="1"/>
  <c r="N174" i="1"/>
  <c r="M174" i="1"/>
  <c r="L174" i="1"/>
  <c r="K174" i="1"/>
  <c r="H174" i="1"/>
  <c r="O173" i="1"/>
  <c r="N173" i="1"/>
  <c r="M173" i="1"/>
  <c r="L173" i="1"/>
  <c r="K173" i="1"/>
  <c r="H173" i="1"/>
  <c r="O172" i="1"/>
  <c r="N172" i="1"/>
  <c r="M172" i="1"/>
  <c r="L172" i="1"/>
  <c r="K172" i="1"/>
  <c r="H172" i="1"/>
  <c r="O171" i="1"/>
  <c r="N171" i="1"/>
  <c r="M171" i="1"/>
  <c r="L171" i="1"/>
  <c r="K171" i="1"/>
  <c r="H171" i="1"/>
  <c r="O170" i="1"/>
  <c r="N170" i="1"/>
  <c r="M170" i="1"/>
  <c r="L170" i="1"/>
  <c r="K170" i="1"/>
  <c r="H170" i="1"/>
  <c r="O169" i="1"/>
  <c r="N169" i="1"/>
  <c r="M169" i="1"/>
  <c r="L169" i="1"/>
  <c r="K169" i="1"/>
  <c r="H169" i="1"/>
  <c r="O168" i="1"/>
  <c r="N168" i="1"/>
  <c r="M168" i="1"/>
  <c r="L168" i="1"/>
  <c r="K168" i="1"/>
  <c r="H168" i="1"/>
  <c r="O167" i="1"/>
  <c r="N167" i="1"/>
  <c r="M167" i="1"/>
  <c r="L167" i="1"/>
  <c r="K167" i="1"/>
  <c r="H167" i="1"/>
  <c r="O166" i="1"/>
  <c r="N166" i="1"/>
  <c r="M166" i="1"/>
  <c r="L166" i="1"/>
  <c r="K166" i="1"/>
  <c r="H166" i="1"/>
  <c r="O165" i="1"/>
  <c r="N165" i="1"/>
  <c r="M165" i="1"/>
  <c r="L165" i="1"/>
  <c r="K165" i="1"/>
  <c r="H165" i="1"/>
  <c r="O164" i="1"/>
  <c r="N164" i="1"/>
  <c r="M164" i="1"/>
  <c r="L164" i="1"/>
  <c r="K164" i="1"/>
  <c r="H164" i="1"/>
  <c r="O163" i="1"/>
  <c r="N163" i="1"/>
  <c r="M163" i="1"/>
  <c r="L163" i="1"/>
  <c r="K163" i="1"/>
  <c r="H163" i="1"/>
  <c r="O162" i="1"/>
  <c r="N162" i="1"/>
  <c r="M162" i="1"/>
  <c r="L162" i="1"/>
  <c r="K162" i="1"/>
  <c r="H162" i="1"/>
  <c r="O161" i="1"/>
  <c r="N161" i="1"/>
  <c r="M161" i="1"/>
  <c r="L161" i="1"/>
  <c r="K161" i="1"/>
  <c r="H161" i="1"/>
  <c r="O160" i="1"/>
  <c r="N160" i="1"/>
  <c r="M160" i="1"/>
  <c r="L160" i="1"/>
  <c r="K160" i="1"/>
  <c r="H160" i="1"/>
  <c r="O159" i="1"/>
  <c r="N159" i="1"/>
  <c r="M159" i="1"/>
  <c r="L159" i="1"/>
  <c r="K159" i="1"/>
  <c r="H159" i="1"/>
  <c r="O158" i="1"/>
  <c r="N158" i="1"/>
  <c r="M158" i="1"/>
  <c r="L158" i="1"/>
  <c r="K158" i="1"/>
  <c r="H158" i="1"/>
  <c r="O157" i="1"/>
  <c r="N157" i="1"/>
  <c r="M157" i="1"/>
  <c r="L157" i="1"/>
  <c r="K157" i="1"/>
  <c r="H157" i="1"/>
  <c r="O156" i="1"/>
  <c r="N156" i="1"/>
  <c r="M156" i="1"/>
  <c r="L156" i="1"/>
  <c r="K156" i="1"/>
  <c r="H156" i="1"/>
  <c r="O155" i="1"/>
  <c r="N155" i="1"/>
  <c r="M155" i="1"/>
  <c r="L155" i="1"/>
  <c r="K155" i="1"/>
  <c r="H155" i="1"/>
  <c r="O154" i="1"/>
  <c r="N154" i="1"/>
  <c r="M154" i="1"/>
  <c r="L154" i="1"/>
  <c r="K154" i="1"/>
  <c r="H154" i="1"/>
  <c r="O153" i="1"/>
  <c r="N153" i="1"/>
  <c r="M153" i="1"/>
  <c r="L153" i="1"/>
  <c r="K153" i="1"/>
  <c r="H153" i="1"/>
  <c r="O152" i="1"/>
  <c r="N152" i="1"/>
  <c r="M152" i="1"/>
  <c r="L152" i="1"/>
  <c r="K152" i="1"/>
  <c r="H152" i="1"/>
  <c r="O151" i="1"/>
  <c r="N151" i="1"/>
  <c r="M151" i="1"/>
  <c r="L151" i="1"/>
  <c r="K151" i="1"/>
  <c r="H151" i="1"/>
  <c r="O150" i="1"/>
  <c r="N150" i="1"/>
  <c r="M150" i="1"/>
  <c r="L150" i="1"/>
  <c r="K150" i="1"/>
  <c r="H150" i="1"/>
  <c r="O149" i="1"/>
  <c r="N149" i="1"/>
  <c r="M149" i="1"/>
  <c r="L149" i="1"/>
  <c r="K149" i="1"/>
  <c r="H149" i="1"/>
  <c r="O148" i="1"/>
  <c r="N148" i="1"/>
  <c r="M148" i="1"/>
  <c r="L148" i="1"/>
  <c r="K148" i="1"/>
  <c r="H148" i="1"/>
  <c r="O147" i="1"/>
  <c r="N147" i="1"/>
  <c r="M147" i="1"/>
  <c r="L147" i="1"/>
  <c r="K147" i="1"/>
  <c r="H147" i="1"/>
  <c r="O146" i="1"/>
  <c r="N146" i="1"/>
  <c r="M146" i="1"/>
  <c r="L146" i="1"/>
  <c r="K146" i="1"/>
  <c r="H146" i="1"/>
  <c r="O145" i="1"/>
  <c r="N145" i="1"/>
  <c r="M145" i="1"/>
  <c r="L145" i="1"/>
  <c r="K145" i="1"/>
  <c r="H145" i="1"/>
  <c r="O144" i="1"/>
  <c r="N144" i="1"/>
  <c r="M144" i="1"/>
  <c r="L144" i="1"/>
  <c r="K144" i="1"/>
  <c r="H144" i="1"/>
  <c r="O143" i="1"/>
  <c r="N143" i="1"/>
  <c r="M143" i="1"/>
  <c r="L143" i="1"/>
  <c r="K143" i="1"/>
  <c r="H143" i="1"/>
  <c r="O142" i="1"/>
  <c r="N142" i="1"/>
  <c r="M142" i="1"/>
  <c r="L142" i="1"/>
  <c r="K142" i="1"/>
  <c r="H142" i="1"/>
  <c r="O141" i="1"/>
  <c r="N141" i="1"/>
  <c r="M141" i="1"/>
  <c r="L141" i="1"/>
  <c r="K141" i="1"/>
  <c r="H141" i="1"/>
  <c r="O140" i="1"/>
  <c r="N140" i="1"/>
  <c r="M140" i="1"/>
  <c r="L140" i="1"/>
  <c r="K140" i="1"/>
  <c r="H140" i="1"/>
  <c r="O139" i="1"/>
  <c r="N139" i="1"/>
  <c r="M139" i="1"/>
  <c r="L139" i="1"/>
  <c r="K139" i="1"/>
  <c r="H139" i="1"/>
  <c r="O138" i="1"/>
  <c r="N138" i="1"/>
  <c r="M138" i="1"/>
  <c r="L138" i="1"/>
  <c r="K138" i="1"/>
  <c r="H138" i="1"/>
  <c r="O137" i="1"/>
  <c r="N137" i="1"/>
  <c r="M137" i="1"/>
  <c r="L137" i="1"/>
  <c r="K137" i="1"/>
  <c r="H137" i="1"/>
  <c r="O136" i="1"/>
  <c r="N136" i="1"/>
  <c r="M136" i="1"/>
  <c r="L136" i="1"/>
  <c r="K136" i="1"/>
  <c r="H136" i="1"/>
  <c r="O135" i="1"/>
  <c r="N135" i="1"/>
  <c r="M135" i="1"/>
  <c r="L135" i="1"/>
  <c r="K135" i="1"/>
  <c r="H135" i="1"/>
  <c r="O134" i="1"/>
  <c r="N134" i="1"/>
  <c r="M134" i="1"/>
  <c r="L134" i="1"/>
  <c r="K134" i="1"/>
  <c r="H134" i="1"/>
  <c r="O133" i="1"/>
  <c r="N133" i="1"/>
  <c r="M133" i="1"/>
  <c r="L133" i="1"/>
  <c r="K133" i="1"/>
  <c r="H133" i="1"/>
  <c r="O132" i="1"/>
  <c r="N132" i="1"/>
  <c r="M132" i="1"/>
  <c r="L132" i="1"/>
  <c r="K132" i="1"/>
  <c r="H132" i="1"/>
  <c r="O131" i="1"/>
  <c r="N131" i="1"/>
  <c r="M131" i="1"/>
  <c r="L131" i="1"/>
  <c r="K131" i="1"/>
  <c r="H131" i="1"/>
  <c r="O130" i="1"/>
  <c r="N130" i="1"/>
  <c r="M130" i="1"/>
  <c r="L130" i="1"/>
  <c r="K130" i="1"/>
  <c r="H130" i="1"/>
  <c r="O129" i="1"/>
  <c r="N129" i="1"/>
  <c r="M129" i="1"/>
  <c r="L129" i="1"/>
  <c r="K129" i="1"/>
  <c r="H129" i="1"/>
  <c r="O128" i="1"/>
  <c r="N128" i="1"/>
  <c r="M128" i="1"/>
  <c r="L128" i="1"/>
  <c r="K128" i="1"/>
  <c r="H128" i="1"/>
  <c r="O127" i="1"/>
  <c r="N127" i="1"/>
  <c r="M127" i="1"/>
  <c r="L127" i="1"/>
  <c r="K127" i="1"/>
  <c r="H127" i="1"/>
  <c r="O126" i="1"/>
  <c r="N126" i="1"/>
  <c r="M126" i="1"/>
  <c r="L126" i="1"/>
  <c r="K126" i="1"/>
  <c r="H126" i="1"/>
  <c r="O125" i="1"/>
  <c r="N125" i="1"/>
  <c r="M125" i="1"/>
  <c r="L125" i="1"/>
  <c r="K125" i="1"/>
  <c r="H125" i="1"/>
  <c r="O124" i="1"/>
  <c r="N124" i="1"/>
  <c r="M124" i="1"/>
  <c r="L124" i="1"/>
  <c r="K124" i="1"/>
  <c r="H124" i="1"/>
  <c r="O123" i="1"/>
  <c r="N123" i="1"/>
  <c r="M123" i="1"/>
  <c r="L123" i="1"/>
  <c r="K123" i="1"/>
  <c r="H123" i="1"/>
  <c r="O122" i="1"/>
  <c r="N122" i="1"/>
  <c r="M122" i="1"/>
  <c r="L122" i="1"/>
  <c r="K122" i="1"/>
  <c r="H122" i="1"/>
  <c r="O121" i="1"/>
  <c r="N121" i="1"/>
  <c r="M121" i="1"/>
  <c r="L121" i="1"/>
  <c r="K121" i="1"/>
  <c r="H121" i="1"/>
  <c r="O120" i="1"/>
  <c r="N120" i="1"/>
  <c r="M120" i="1"/>
  <c r="L120" i="1"/>
  <c r="K120" i="1"/>
  <c r="H120" i="1"/>
  <c r="O119" i="1"/>
  <c r="N119" i="1"/>
  <c r="M119" i="1"/>
  <c r="L119" i="1"/>
  <c r="K119" i="1"/>
  <c r="H119" i="1"/>
  <c r="O118" i="1"/>
  <c r="N118" i="1"/>
  <c r="M118" i="1"/>
  <c r="L118" i="1"/>
  <c r="K118" i="1"/>
  <c r="H118" i="1"/>
  <c r="O117" i="1"/>
  <c r="N117" i="1"/>
  <c r="M117" i="1"/>
  <c r="L117" i="1"/>
  <c r="K117" i="1"/>
  <c r="H117" i="1"/>
  <c r="O116" i="1"/>
  <c r="N116" i="1"/>
  <c r="M116" i="1"/>
  <c r="L116" i="1"/>
  <c r="K116" i="1"/>
  <c r="H116" i="1"/>
  <c r="O115" i="1"/>
  <c r="N115" i="1"/>
  <c r="M115" i="1"/>
  <c r="L115" i="1"/>
  <c r="K115" i="1"/>
  <c r="H115" i="1"/>
  <c r="O114" i="1"/>
  <c r="N114" i="1"/>
  <c r="M114" i="1"/>
  <c r="L114" i="1"/>
  <c r="K114" i="1"/>
  <c r="H114" i="1"/>
  <c r="O113" i="1"/>
  <c r="N113" i="1"/>
  <c r="M113" i="1"/>
  <c r="L113" i="1"/>
  <c r="K113" i="1"/>
  <c r="H113" i="1"/>
  <c r="O112" i="1"/>
  <c r="N112" i="1"/>
  <c r="M112" i="1"/>
  <c r="L112" i="1"/>
  <c r="K112" i="1"/>
  <c r="H112" i="1"/>
  <c r="O111" i="1"/>
  <c r="N111" i="1"/>
  <c r="M111" i="1"/>
  <c r="L111" i="1"/>
  <c r="K111" i="1"/>
  <c r="H111" i="1"/>
  <c r="O110" i="1"/>
  <c r="N110" i="1"/>
  <c r="M110" i="1"/>
  <c r="L110" i="1"/>
  <c r="K110" i="1"/>
  <c r="H110" i="1"/>
  <c r="O109" i="1"/>
  <c r="N109" i="1"/>
  <c r="M109" i="1"/>
  <c r="L109" i="1"/>
  <c r="K109" i="1"/>
  <c r="H109" i="1"/>
  <c r="O108" i="1"/>
  <c r="N108" i="1"/>
  <c r="M108" i="1"/>
  <c r="L108" i="1"/>
  <c r="K108" i="1"/>
  <c r="H108" i="1"/>
  <c r="O107" i="1"/>
  <c r="N107" i="1"/>
  <c r="M107" i="1"/>
  <c r="L107" i="1"/>
  <c r="K107" i="1"/>
  <c r="H107" i="1"/>
  <c r="O106" i="1"/>
  <c r="N106" i="1"/>
  <c r="M106" i="1"/>
  <c r="L106" i="1"/>
  <c r="K106" i="1"/>
  <c r="H106" i="1"/>
  <c r="O105" i="1"/>
  <c r="N105" i="1"/>
  <c r="M105" i="1"/>
  <c r="L105" i="1"/>
  <c r="K105" i="1"/>
  <c r="H105" i="1"/>
  <c r="O104" i="1"/>
  <c r="N104" i="1"/>
  <c r="M104" i="1"/>
  <c r="L104" i="1"/>
  <c r="K104" i="1"/>
  <c r="H104" i="1"/>
  <c r="O103" i="1"/>
  <c r="N103" i="1"/>
  <c r="M103" i="1"/>
  <c r="L103" i="1"/>
  <c r="K103" i="1"/>
  <c r="H103" i="1"/>
  <c r="O102" i="1"/>
  <c r="N102" i="1"/>
  <c r="M102" i="1"/>
  <c r="L102" i="1"/>
  <c r="K102" i="1"/>
  <c r="H102" i="1"/>
  <c r="O101" i="1"/>
  <c r="N101" i="1"/>
  <c r="M101" i="1"/>
  <c r="L101" i="1"/>
  <c r="K101" i="1"/>
  <c r="H101" i="1"/>
  <c r="O100" i="1"/>
  <c r="N100" i="1"/>
  <c r="M100" i="1"/>
  <c r="L100" i="1"/>
  <c r="K100" i="1"/>
  <c r="H100" i="1"/>
  <c r="O99" i="1"/>
  <c r="N99" i="1"/>
  <c r="M99" i="1"/>
  <c r="L99" i="1"/>
  <c r="K99" i="1"/>
  <c r="H99" i="1"/>
  <c r="O98" i="1"/>
  <c r="N98" i="1"/>
  <c r="M98" i="1"/>
  <c r="L98" i="1"/>
  <c r="K98" i="1"/>
  <c r="H98" i="1"/>
  <c r="O97" i="1"/>
  <c r="N97" i="1"/>
  <c r="M97" i="1"/>
  <c r="L97" i="1"/>
  <c r="K97" i="1"/>
  <c r="H97" i="1"/>
  <c r="O96" i="1"/>
  <c r="N96" i="1"/>
  <c r="M96" i="1"/>
  <c r="L96" i="1"/>
  <c r="K96" i="1"/>
  <c r="H96" i="1"/>
  <c r="O95" i="1"/>
  <c r="N95" i="1"/>
  <c r="M95" i="1"/>
  <c r="L95" i="1"/>
  <c r="K95" i="1"/>
  <c r="H95" i="1"/>
  <c r="O94" i="1"/>
  <c r="N94" i="1"/>
  <c r="M94" i="1"/>
  <c r="L94" i="1"/>
  <c r="K94" i="1"/>
  <c r="H94" i="1"/>
  <c r="O93" i="1"/>
  <c r="N93" i="1"/>
  <c r="M93" i="1"/>
  <c r="L93" i="1"/>
  <c r="K93" i="1"/>
  <c r="H93" i="1"/>
  <c r="O92" i="1"/>
  <c r="N92" i="1"/>
  <c r="M92" i="1"/>
  <c r="L92" i="1"/>
  <c r="K92" i="1"/>
  <c r="H92" i="1"/>
  <c r="O91" i="1"/>
  <c r="N91" i="1"/>
  <c r="M91" i="1"/>
  <c r="L91" i="1"/>
  <c r="K91" i="1"/>
  <c r="H91" i="1"/>
  <c r="O90" i="1"/>
  <c r="N90" i="1"/>
  <c r="M90" i="1"/>
  <c r="L90" i="1"/>
  <c r="K90" i="1"/>
  <c r="H90" i="1"/>
  <c r="O89" i="1"/>
  <c r="N89" i="1"/>
  <c r="M89" i="1"/>
  <c r="L89" i="1"/>
  <c r="K89" i="1"/>
  <c r="H89" i="1"/>
  <c r="O88" i="1"/>
  <c r="N88" i="1"/>
  <c r="M88" i="1"/>
  <c r="L88" i="1"/>
  <c r="K88" i="1"/>
  <c r="H88" i="1"/>
  <c r="O87" i="1"/>
  <c r="N87" i="1"/>
  <c r="M87" i="1"/>
  <c r="L87" i="1"/>
  <c r="K87" i="1"/>
  <c r="H87" i="1"/>
  <c r="O86" i="1"/>
  <c r="N86" i="1"/>
  <c r="M86" i="1"/>
  <c r="L86" i="1"/>
  <c r="K86" i="1"/>
  <c r="H86" i="1"/>
  <c r="O85" i="1"/>
  <c r="N85" i="1"/>
  <c r="M85" i="1"/>
  <c r="L85" i="1"/>
  <c r="K85" i="1"/>
  <c r="H85" i="1"/>
  <c r="O84" i="1"/>
  <c r="N84" i="1"/>
  <c r="M84" i="1"/>
  <c r="L84" i="1"/>
  <c r="K84" i="1"/>
  <c r="H84" i="1"/>
  <c r="O83" i="1"/>
  <c r="N83" i="1"/>
  <c r="M83" i="1"/>
  <c r="L83" i="1"/>
  <c r="K83" i="1"/>
  <c r="H83" i="1"/>
  <c r="O82" i="1"/>
  <c r="N82" i="1"/>
  <c r="M82" i="1"/>
  <c r="L82" i="1"/>
  <c r="K82" i="1"/>
  <c r="H82" i="1"/>
  <c r="O81" i="1"/>
  <c r="N81" i="1"/>
  <c r="M81" i="1"/>
  <c r="L81" i="1"/>
  <c r="K81" i="1"/>
  <c r="H81" i="1"/>
  <c r="O80" i="1"/>
  <c r="N80" i="1"/>
  <c r="M80" i="1"/>
  <c r="L80" i="1"/>
  <c r="K80" i="1"/>
  <c r="H80" i="1"/>
  <c r="O79" i="1"/>
  <c r="N79" i="1"/>
  <c r="M79" i="1"/>
  <c r="L79" i="1"/>
  <c r="K79" i="1"/>
  <c r="H79" i="1"/>
  <c r="O78" i="1"/>
  <c r="N78" i="1"/>
  <c r="M78" i="1"/>
  <c r="L78" i="1"/>
  <c r="K78" i="1"/>
  <c r="H78" i="1"/>
  <c r="O77" i="1"/>
  <c r="N77" i="1"/>
  <c r="M77" i="1"/>
  <c r="L77" i="1"/>
  <c r="K77" i="1"/>
  <c r="H77" i="1"/>
  <c r="O76" i="1"/>
  <c r="N76" i="1"/>
  <c r="M76" i="1"/>
  <c r="L76" i="1"/>
  <c r="K76" i="1"/>
  <c r="H76" i="1"/>
  <c r="O75" i="1"/>
  <c r="N75" i="1"/>
  <c r="M75" i="1"/>
  <c r="L75" i="1"/>
  <c r="K75" i="1"/>
  <c r="H75" i="1"/>
  <c r="O74" i="1"/>
  <c r="N74" i="1"/>
  <c r="M74" i="1"/>
  <c r="L74" i="1"/>
  <c r="K74" i="1"/>
  <c r="H74" i="1"/>
  <c r="O73" i="1"/>
  <c r="N73" i="1"/>
  <c r="M73" i="1"/>
  <c r="L73" i="1"/>
  <c r="K73" i="1"/>
  <c r="H73" i="1"/>
  <c r="O72" i="1"/>
  <c r="N72" i="1"/>
  <c r="M72" i="1"/>
  <c r="L72" i="1"/>
  <c r="K72" i="1"/>
  <c r="H72" i="1"/>
  <c r="O71" i="1"/>
  <c r="N71" i="1"/>
  <c r="M71" i="1"/>
  <c r="L71" i="1"/>
  <c r="K71" i="1"/>
  <c r="H71" i="1"/>
  <c r="O70" i="1"/>
  <c r="N70" i="1"/>
  <c r="M70" i="1"/>
  <c r="L70" i="1"/>
  <c r="K70" i="1"/>
  <c r="H70" i="1"/>
  <c r="O69" i="1"/>
  <c r="N69" i="1"/>
  <c r="M69" i="1"/>
  <c r="L69" i="1"/>
  <c r="K69" i="1"/>
  <c r="H69" i="1"/>
  <c r="O68" i="1"/>
  <c r="N68" i="1"/>
  <c r="M68" i="1"/>
  <c r="L68" i="1"/>
  <c r="K68" i="1"/>
  <c r="H68" i="1"/>
  <c r="O67" i="1"/>
  <c r="N67" i="1"/>
  <c r="M67" i="1"/>
  <c r="L67" i="1"/>
  <c r="K67" i="1"/>
  <c r="H67" i="1"/>
  <c r="O66" i="1"/>
  <c r="N66" i="1"/>
  <c r="M66" i="1"/>
  <c r="L66" i="1"/>
  <c r="K66" i="1"/>
  <c r="H66" i="1"/>
  <c r="O65" i="1"/>
  <c r="N65" i="1"/>
  <c r="M65" i="1"/>
  <c r="L65" i="1"/>
  <c r="K65" i="1"/>
  <c r="H65" i="1"/>
  <c r="O64" i="1"/>
  <c r="N64" i="1"/>
  <c r="M64" i="1"/>
  <c r="L64" i="1"/>
  <c r="K64" i="1"/>
  <c r="H64" i="1"/>
  <c r="O63" i="1"/>
  <c r="N63" i="1"/>
  <c r="M63" i="1"/>
  <c r="L63" i="1"/>
  <c r="K63" i="1"/>
  <c r="H63" i="1"/>
  <c r="O62" i="1"/>
  <c r="N62" i="1"/>
  <c r="M62" i="1"/>
  <c r="L62" i="1"/>
  <c r="K62" i="1"/>
  <c r="H62" i="1"/>
  <c r="O61" i="1"/>
  <c r="N61" i="1"/>
  <c r="M61" i="1"/>
  <c r="L61" i="1"/>
  <c r="K61" i="1"/>
  <c r="H61" i="1"/>
  <c r="O60" i="1"/>
  <c r="N60" i="1"/>
  <c r="M60" i="1"/>
  <c r="L60" i="1"/>
  <c r="K60" i="1"/>
  <c r="H60" i="1"/>
  <c r="O59" i="1"/>
  <c r="N59" i="1"/>
  <c r="M59" i="1"/>
  <c r="L59" i="1"/>
  <c r="K59" i="1"/>
  <c r="H59" i="1"/>
  <c r="O58" i="1"/>
  <c r="N58" i="1"/>
  <c r="M58" i="1"/>
  <c r="L58" i="1"/>
  <c r="K58" i="1"/>
  <c r="H58" i="1"/>
  <c r="O57" i="1"/>
  <c r="N57" i="1"/>
  <c r="M57" i="1"/>
  <c r="L57" i="1"/>
  <c r="K57" i="1"/>
  <c r="H57" i="1"/>
  <c r="O56" i="1"/>
  <c r="N56" i="1"/>
  <c r="M56" i="1"/>
  <c r="L56" i="1"/>
  <c r="K56" i="1"/>
  <c r="H56" i="1"/>
  <c r="O55" i="1"/>
  <c r="N55" i="1"/>
  <c r="M55" i="1"/>
  <c r="L55" i="1"/>
  <c r="K55" i="1"/>
  <c r="H55" i="1"/>
  <c r="O54" i="1"/>
  <c r="N54" i="1"/>
  <c r="M54" i="1"/>
  <c r="L54" i="1"/>
  <c r="K54" i="1"/>
  <c r="H54" i="1"/>
  <c r="O53" i="1"/>
  <c r="N53" i="1"/>
  <c r="M53" i="1"/>
  <c r="L53" i="1"/>
  <c r="K53" i="1"/>
  <c r="H53" i="1"/>
  <c r="O52" i="1"/>
  <c r="N52" i="1"/>
  <c r="M52" i="1"/>
  <c r="L52" i="1"/>
  <c r="K52" i="1"/>
  <c r="H52" i="1"/>
  <c r="O51" i="1"/>
  <c r="N51" i="1"/>
  <c r="M51" i="1"/>
  <c r="L51" i="1"/>
  <c r="K51" i="1"/>
  <c r="H51" i="1"/>
  <c r="O50" i="1"/>
  <c r="N50" i="1"/>
  <c r="M50" i="1"/>
  <c r="L50" i="1"/>
  <c r="K50" i="1"/>
  <c r="H50" i="1"/>
  <c r="O49" i="1"/>
  <c r="N49" i="1"/>
  <c r="M49" i="1"/>
  <c r="L49" i="1"/>
  <c r="K49" i="1"/>
  <c r="H49" i="1"/>
  <c r="O48" i="1"/>
  <c r="N48" i="1"/>
  <c r="M48" i="1"/>
  <c r="L48" i="1"/>
  <c r="K48" i="1"/>
  <c r="H48" i="1"/>
  <c r="O47" i="1"/>
  <c r="N47" i="1"/>
  <c r="M47" i="1"/>
  <c r="L47" i="1"/>
  <c r="K47" i="1"/>
  <c r="H47" i="1"/>
  <c r="O46" i="1"/>
  <c r="N46" i="1"/>
  <c r="M46" i="1"/>
  <c r="L46" i="1"/>
  <c r="K46" i="1"/>
  <c r="H46" i="1"/>
  <c r="O45" i="1"/>
  <c r="N45" i="1"/>
  <c r="M45" i="1"/>
  <c r="L45" i="1"/>
  <c r="K45" i="1"/>
  <c r="H45" i="1"/>
  <c r="O44" i="1"/>
  <c r="N44" i="1"/>
  <c r="M44" i="1"/>
  <c r="L44" i="1"/>
  <c r="K44" i="1"/>
  <c r="H44" i="1"/>
  <c r="O43" i="1"/>
  <c r="N43" i="1"/>
  <c r="M43" i="1"/>
  <c r="L43" i="1"/>
  <c r="K43" i="1"/>
  <c r="H43" i="1"/>
  <c r="O42" i="1"/>
  <c r="N42" i="1"/>
  <c r="M42" i="1"/>
  <c r="L42" i="1"/>
  <c r="K42" i="1"/>
  <c r="H42" i="1"/>
  <c r="O41" i="1"/>
  <c r="N41" i="1"/>
  <c r="M41" i="1"/>
  <c r="L41" i="1"/>
  <c r="K41" i="1"/>
  <c r="H41" i="1"/>
  <c r="O40" i="1"/>
  <c r="N40" i="1"/>
  <c r="M40" i="1"/>
  <c r="L40" i="1"/>
  <c r="K40" i="1"/>
  <c r="H40" i="1"/>
  <c r="O39" i="1"/>
  <c r="N39" i="1"/>
  <c r="M39" i="1"/>
  <c r="L39" i="1"/>
  <c r="K39" i="1"/>
  <c r="H39" i="1"/>
  <c r="O38" i="1"/>
  <c r="N38" i="1"/>
  <c r="M38" i="1"/>
  <c r="L38" i="1"/>
  <c r="K38" i="1"/>
  <c r="H38" i="1"/>
  <c r="O37" i="1"/>
  <c r="N37" i="1"/>
  <c r="M37" i="1"/>
  <c r="L37" i="1"/>
  <c r="K37" i="1"/>
  <c r="H37" i="1"/>
  <c r="O36" i="1"/>
  <c r="N36" i="1"/>
  <c r="M36" i="1"/>
  <c r="L36" i="1"/>
  <c r="K36" i="1"/>
  <c r="H36" i="1"/>
  <c r="O35" i="1"/>
  <c r="N35" i="1"/>
  <c r="M35" i="1"/>
  <c r="L35" i="1"/>
  <c r="K35" i="1"/>
  <c r="H35" i="1"/>
  <c r="O34" i="1"/>
  <c r="N34" i="1"/>
  <c r="M34" i="1"/>
  <c r="L34" i="1"/>
  <c r="K34" i="1"/>
  <c r="H34" i="1"/>
  <c r="O33" i="1"/>
  <c r="N33" i="1"/>
  <c r="M33" i="1"/>
  <c r="L33" i="1"/>
  <c r="K33" i="1"/>
  <c r="H33" i="1"/>
  <c r="O32" i="1"/>
  <c r="N32" i="1"/>
  <c r="M32" i="1"/>
  <c r="L32" i="1"/>
  <c r="K32" i="1"/>
  <c r="H32" i="1"/>
  <c r="O31" i="1"/>
  <c r="N31" i="1"/>
  <c r="M31" i="1"/>
  <c r="L31" i="1"/>
  <c r="K31" i="1"/>
  <c r="H31" i="1"/>
  <c r="O30" i="1"/>
  <c r="N30" i="1"/>
  <c r="M30" i="1"/>
  <c r="L30" i="1"/>
  <c r="K30" i="1"/>
  <c r="H30" i="1"/>
  <c r="O29" i="1"/>
  <c r="N29" i="1"/>
  <c r="M29" i="1"/>
  <c r="L29" i="1"/>
  <c r="K29" i="1"/>
  <c r="H29" i="1"/>
  <c r="O28" i="1"/>
  <c r="N28" i="1"/>
  <c r="M28" i="1"/>
  <c r="L28" i="1"/>
  <c r="K28" i="1"/>
  <c r="H28" i="1"/>
  <c r="O27" i="1"/>
  <c r="N27" i="1"/>
  <c r="M27" i="1"/>
  <c r="L27" i="1"/>
  <c r="K27" i="1"/>
  <c r="H27" i="1"/>
  <c r="O26" i="1"/>
  <c r="N26" i="1"/>
  <c r="M26" i="1"/>
  <c r="L26" i="1"/>
  <c r="K26" i="1"/>
  <c r="H26" i="1"/>
  <c r="O25" i="1"/>
  <c r="N25" i="1"/>
  <c r="M25" i="1"/>
  <c r="L25" i="1"/>
  <c r="K25" i="1"/>
  <c r="H25" i="1"/>
  <c r="O24" i="1"/>
  <c r="N24" i="1"/>
  <c r="M24" i="1"/>
  <c r="L24" i="1"/>
  <c r="K24" i="1"/>
  <c r="H24" i="1"/>
  <c r="O23" i="1"/>
  <c r="N23" i="1"/>
  <c r="M23" i="1"/>
  <c r="L23" i="1"/>
  <c r="K23" i="1"/>
  <c r="H23" i="1"/>
  <c r="O22" i="1"/>
  <c r="N22" i="1"/>
  <c r="M22" i="1"/>
  <c r="L22" i="1"/>
  <c r="K22" i="1"/>
  <c r="H22" i="1"/>
  <c r="O21" i="1"/>
  <c r="N21" i="1"/>
  <c r="M21" i="1"/>
  <c r="L21" i="1"/>
  <c r="K21" i="1"/>
  <c r="H21" i="1"/>
  <c r="O20" i="1"/>
  <c r="N20" i="1"/>
  <c r="M20" i="1"/>
  <c r="L20" i="1"/>
  <c r="K20" i="1"/>
  <c r="H20" i="1"/>
  <c r="O19" i="1"/>
  <c r="N19" i="1"/>
  <c r="M19" i="1"/>
  <c r="L19" i="1"/>
  <c r="K19" i="1"/>
  <c r="H19" i="1"/>
  <c r="O18" i="1"/>
  <c r="N18" i="1"/>
  <c r="M18" i="1"/>
  <c r="L18" i="1"/>
  <c r="K18" i="1"/>
  <c r="H18" i="1"/>
  <c r="O17" i="1"/>
  <c r="N17" i="1"/>
  <c r="M17" i="1"/>
  <c r="L17" i="1"/>
  <c r="K17" i="1"/>
  <c r="H17" i="1"/>
  <c r="O16" i="1"/>
  <c r="N16" i="1"/>
  <c r="M16" i="1"/>
  <c r="L16" i="1"/>
  <c r="K16" i="1"/>
  <c r="H16" i="1"/>
  <c r="O15" i="1"/>
  <c r="N15" i="1"/>
  <c r="M15" i="1"/>
  <c r="L15" i="1"/>
  <c r="K15" i="1"/>
  <c r="H15" i="1"/>
  <c r="O14" i="1"/>
  <c r="N14" i="1"/>
  <c r="M14" i="1"/>
  <c r="L14" i="1"/>
  <c r="K14" i="1"/>
  <c r="H14" i="1"/>
  <c r="O13" i="1"/>
  <c r="N13" i="1"/>
  <c r="M13" i="1"/>
  <c r="L13" i="1"/>
  <c r="K13" i="1"/>
  <c r="H13" i="1"/>
  <c r="O12" i="1"/>
  <c r="N12" i="1"/>
  <c r="M12" i="1"/>
  <c r="L12" i="1"/>
  <c r="K12" i="1"/>
  <c r="H12" i="1"/>
  <c r="O11" i="1"/>
  <c r="N11" i="1"/>
  <c r="M11" i="1"/>
  <c r="L11" i="1"/>
  <c r="K11" i="1"/>
  <c r="H11" i="1"/>
  <c r="O10" i="1"/>
  <c r="N10" i="1"/>
  <c r="M10" i="1"/>
  <c r="L10" i="1"/>
  <c r="K10" i="1"/>
  <c r="H10" i="1"/>
  <c r="O9" i="1"/>
  <c r="N9" i="1"/>
  <c r="M9" i="1"/>
  <c r="L9" i="1"/>
  <c r="K9" i="1"/>
  <c r="H9" i="1"/>
  <c r="O8" i="1"/>
  <c r="N8" i="1"/>
  <c r="M8" i="1"/>
  <c r="L8" i="1"/>
  <c r="K8" i="1"/>
  <c r="H8" i="1"/>
  <c r="O7" i="1"/>
  <c r="N7" i="1"/>
  <c r="M7" i="1"/>
  <c r="L7" i="1"/>
  <c r="K7" i="1"/>
  <c r="H7" i="1"/>
  <c r="O6" i="1"/>
  <c r="N6" i="1"/>
  <c r="M6" i="1"/>
  <c r="L6" i="1"/>
  <c r="K6" i="1"/>
  <c r="H6" i="1"/>
  <c r="O5" i="1"/>
  <c r="N5" i="1"/>
  <c r="M5" i="1"/>
  <c r="L5" i="1"/>
  <c r="K5" i="1"/>
  <c r="H5" i="1"/>
  <c r="O4" i="1"/>
  <c r="N4" i="1"/>
  <c r="M4" i="1"/>
  <c r="L4" i="1"/>
  <c r="K4" i="1"/>
  <c r="H4" i="1"/>
  <c r="O3" i="1"/>
  <c r="N3" i="1"/>
  <c r="M3" i="1"/>
  <c r="L3" i="1"/>
  <c r="K3" i="1"/>
  <c r="H3" i="1"/>
  <c r="O2" i="1"/>
  <c r="N2" i="1"/>
  <c r="M2" i="1"/>
  <c r="L2" i="1"/>
  <c r="K2" i="1"/>
  <c r="H2" i="1"/>
</calcChain>
</file>

<file path=xl/sharedStrings.xml><?xml version="1.0" encoding="utf-8"?>
<sst xmlns="http://schemas.openxmlformats.org/spreadsheetml/2006/main" count="645" uniqueCount="49">
  <si>
    <t>WeekStartDate</t>
  </si>
  <si>
    <t>Platform</t>
  </si>
  <si>
    <t>CampaignName</t>
  </si>
  <si>
    <t>Budget</t>
  </si>
  <si>
    <t>Spend</t>
  </si>
  <si>
    <t>Impressions</t>
  </si>
  <si>
    <t>Clicks</t>
  </si>
  <si>
    <t>CTR</t>
  </si>
  <si>
    <t>CPC</t>
  </si>
  <si>
    <t>CPM</t>
  </si>
  <si>
    <t>ROAS</t>
  </si>
  <si>
    <t>Marketing ROI</t>
  </si>
  <si>
    <t>Negative ROI Flag</t>
  </si>
  <si>
    <t>CPL</t>
  </si>
  <si>
    <t>CPA</t>
  </si>
  <si>
    <t>LeadsGenerated</t>
  </si>
  <si>
    <t>Conversions</t>
  </si>
  <si>
    <t>ConversionRate</t>
  </si>
  <si>
    <t>RevenueAttributed</t>
  </si>
  <si>
    <t>ROI</t>
  </si>
  <si>
    <t>Month</t>
  </si>
  <si>
    <t>Facebook</t>
  </si>
  <si>
    <t>Holiday Promo</t>
  </si>
  <si>
    <t>2025-01</t>
  </si>
  <si>
    <t>Google</t>
  </si>
  <si>
    <t>Shopping Campaign</t>
  </si>
  <si>
    <t>Instagram</t>
  </si>
  <si>
    <t>Influencer Push</t>
  </si>
  <si>
    <t>TikTok</t>
  </si>
  <si>
    <t>UGC Campaign</t>
  </si>
  <si>
    <t>Display Remarketing</t>
  </si>
  <si>
    <t>Viral Promo</t>
  </si>
  <si>
    <t>Retargeting</t>
  </si>
  <si>
    <t>Search Brand</t>
  </si>
  <si>
    <t>Story Ads</t>
  </si>
  <si>
    <t>Awareness Blast</t>
  </si>
  <si>
    <t>Product Showcase</t>
  </si>
  <si>
    <t>Lookalike Audience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</si>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</sst>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0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17">
    <dxf>
      <numFmt numFmtId="13" formatCode="0%"/>
    </dxf>
    <dxf>
      <numFmt numFmtId="164" formatCode="&quot;£&quot;#,##0.00"/>
    </dxf>
    <dxf>
      <numFmt numFmtId="1" formatCode="0"/>
    </dxf>
    <dxf>
      <numFmt numFmtId="164" formatCode="&quot;£&quot;#,##0.00"/>
    </dxf>
    <dxf>
      <numFmt numFmtId="164" formatCode="&quot;£&quot;#,##0.00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" formatCode="0"/>
    </dxf>
    <dxf>
      <numFmt numFmtId="1" formatCode="0"/>
    </dxf>
    <dxf>
      <numFmt numFmtId="164" formatCode="&quot;£&quot;#,##0.00"/>
    </dxf>
    <dxf>
      <numFmt numFmtId="164" formatCode="&quot;£&quot;#,##0.00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4650C-1B06-4ED3-99D4-FCFA6E2BA3FC}" name="Table1" displayName="Table1" ref="A1:U209" totalsRowShown="0" headerRowDxfId="16" headerRowBorderDxfId="14" tableBorderDxfId="15">
  <autoFilter ref="A1:U209" xr:uid="{34BE3D7B-BE7E-4026-BA4C-F19C46C6A9C1}"/>
  <tableColumns count="21">
    <tableColumn id="1" xr3:uid="{A8EB116C-1371-4C81-8505-5B56B2E7F12E}" name="WeekStartDate" dataDxfId="13"/>
    <tableColumn id="2" xr3:uid="{C426D64B-6F90-4AB6-92F6-C918B896C86C}" name="Platform"/>
    <tableColumn id="3" xr3:uid="{36A15DF1-748C-45C1-9429-8A2C59CECDFF}" name="CampaignName"/>
    <tableColumn id="4" xr3:uid="{4DB64FD5-5416-4FAF-937F-5C60FA744445}" name="Budget" dataDxfId="12"/>
    <tableColumn id="5" xr3:uid="{F2499E83-DC2E-43E2-B46C-A3D819DC446E}" name="Spend" dataDxfId="11"/>
    <tableColumn id="6" xr3:uid="{296C6B29-D082-4E0C-9221-6B689E92E44E}" name="Impressions" dataDxfId="10"/>
    <tableColumn id="7" xr3:uid="{3FD0806E-7A85-4D08-B4F7-24045C3C3309}" name="Clicks" dataDxfId="9"/>
    <tableColumn id="17" xr3:uid="{8FBB0E3B-96FA-442B-88E0-FDF2F6379749}" name="CTR" dataDxfId="8">
      <calculatedColumnFormula>IF(F2 = 0,0,G2/F2)</calculatedColumnFormula>
    </tableColumn>
    <tableColumn id="8" xr3:uid="{0CA42253-79C3-49F9-BDB1-D2DD9F729CEF}" name="CPC"/>
    <tableColumn id="9" xr3:uid="{41D6FBBD-2811-4B05-A3B6-09A69DA66CAC}" name="CPM"/>
    <tableColumn id="20" xr3:uid="{EC0C4824-F392-4969-B762-F3E5C31F7991}" name="ROAS" dataDxfId="7">
      <calculatedColumnFormula>IF(E2=0,0,S2/E2)</calculatedColumnFormula>
    </tableColumn>
    <tableColumn id="21" xr3:uid="{48B9BF2D-8D6C-4E65-BF74-75F1FBEEC9A2}" name="Marketing ROI" dataDxfId="6">
      <calculatedColumnFormula>IF(E2=0,0,(S2-E2)/E2)</calculatedColumnFormula>
    </tableColumn>
    <tableColumn id="22" xr3:uid="{222BCF7B-8F4C-4A5D-A6BF-0D88C132FC37}" name="Negative ROI Flag" dataDxfId="5">
      <calculatedColumnFormula>IF(T2&lt;0,1,0)</calculatedColumnFormula>
    </tableColumn>
    <tableColumn id="18" xr3:uid="{27DBB899-B82E-4BDA-9415-A2E451A4798D}" name="CPL" dataDxfId="4">
      <calculatedColumnFormula>IF(P2=0,0,E2/P2)</calculatedColumnFormula>
    </tableColumn>
    <tableColumn id="19" xr3:uid="{5EFCC366-F09F-4AFB-8B82-BAB5963DF9F6}" name="CPA" dataDxfId="3">
      <calculatedColumnFormula>IF(Q2=0,0,E2/Q2)</calculatedColumnFormula>
    </tableColumn>
    <tableColumn id="10" xr3:uid="{D027E89C-FCB2-487F-9E80-45106D20EF48}" name="LeadsGenerated" dataDxfId="2"/>
    <tableColumn id="11" xr3:uid="{F87C5889-4337-441D-85E6-6FE1BE9F1465}" name="Conversions"/>
    <tableColumn id="12" xr3:uid="{7433C644-B8D5-4EA2-BE48-1D67B0B0160D}" name="ConversionRate" dataCellStyle="Per cent"/>
    <tableColumn id="13" xr3:uid="{77BEC131-B730-4947-A6A2-46C87ADABB0B}" name="RevenueAttributed" dataDxfId="1"/>
    <tableColumn id="14" xr3:uid="{259F30E1-F3AF-4234-89DB-29419DE3861E}" name="ROI" dataDxfId="0"/>
    <tableColumn id="15" xr3:uid="{6E65A669-CF8E-49C5-BD9D-23B9AD0D2C19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CB71-3EFD-4301-9546-2461A052BC84}">
  <dimension ref="A1:U209"/>
  <sheetViews>
    <sheetView tabSelected="1" topLeftCell="B1" workbookViewId="0">
      <selection activeCell="D13" sqref="D13"/>
    </sheetView>
  </sheetViews>
  <sheetFormatPr defaultRowHeight="14.4" x14ac:dyDescent="0.3"/>
  <cols>
    <col min="1" max="1" width="18.21875" style="10" bestFit="1" customWidth="1"/>
    <col min="2" max="2" width="12.77734375" bestFit="1" customWidth="1"/>
    <col min="3" max="3" width="19" bestFit="1" customWidth="1"/>
    <col min="4" max="4" width="11.44140625" style="11" bestFit="1" customWidth="1"/>
    <col min="5" max="5" width="10.77734375" style="11" bestFit="1" customWidth="1"/>
    <col min="6" max="6" width="15.44140625" style="12" bestFit="1" customWidth="1"/>
    <col min="7" max="7" width="10.109375" style="12" bestFit="1" customWidth="1"/>
    <col min="8" max="8" width="10.109375" style="13" customWidth="1"/>
    <col min="9" max="9" width="8.77734375" bestFit="1" customWidth="1"/>
    <col min="10" max="10" width="9.44140625" bestFit="1" customWidth="1"/>
    <col min="11" max="11" width="12" bestFit="1" customWidth="1"/>
    <col min="12" max="12" width="17.6640625" bestFit="1" customWidth="1"/>
    <col min="13" max="13" width="20.21875" bestFit="1" customWidth="1"/>
    <col min="14" max="15" width="9.44140625" style="11" customWidth="1"/>
    <col min="16" max="16" width="19.109375" style="12" bestFit="1" customWidth="1"/>
    <col min="17" max="17" width="15.6640625" bestFit="1" customWidth="1"/>
    <col min="18" max="18" width="18.77734375" style="14" bestFit="1" customWidth="1"/>
    <col min="19" max="19" width="21.6640625" style="11" bestFit="1" customWidth="1"/>
    <col min="20" max="20" width="11" style="15" bestFit="1" customWidth="1"/>
    <col min="21" max="21" width="11.21875" bestFit="1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4" t="s">
        <v>15</v>
      </c>
      <c r="Q1" s="2" t="s">
        <v>16</v>
      </c>
      <c r="R1" s="8" t="s">
        <v>17</v>
      </c>
      <c r="S1" s="3" t="s">
        <v>18</v>
      </c>
      <c r="T1" s="9" t="s">
        <v>19</v>
      </c>
      <c r="U1" s="2" t="s">
        <v>20</v>
      </c>
    </row>
    <row r="2" spans="1:21" x14ac:dyDescent="0.3">
      <c r="A2" s="10">
        <v>45663</v>
      </c>
      <c r="B2" t="s">
        <v>21</v>
      </c>
      <c r="C2" t="s">
        <v>22</v>
      </c>
      <c r="D2" s="11">
        <v>8214.02</v>
      </c>
      <c r="E2" s="11">
        <v>6252.53</v>
      </c>
      <c r="F2" s="12">
        <v>558012</v>
      </c>
      <c r="G2" s="12">
        <v>48535</v>
      </c>
      <c r="H2" s="13">
        <f t="shared" ref="H2:H65" si="0">IF(F2 = 0,0,G2/F2)</f>
        <v>8.6978416234776312E-2</v>
      </c>
      <c r="I2">
        <v>0.13</v>
      </c>
      <c r="J2">
        <v>11.21</v>
      </c>
      <c r="K2">
        <f t="shared" ref="K2:K65" si="1">IF(E2=0,0,S2/E2)</f>
        <v>1.526733978085671</v>
      </c>
      <c r="L2">
        <f t="shared" ref="L2:L65" si="2">IF(E2=0,0,(S2-E2)/E2)</f>
        <v>0.52673397808567113</v>
      </c>
      <c r="M2">
        <f t="shared" ref="M2:M65" si="3">IF(T2&lt;0,1,0)</f>
        <v>0</v>
      </c>
      <c r="N2" s="11">
        <f t="shared" ref="N2:N65" si="4">IF(P2=0,0,E2/P2)</f>
        <v>1.6236120488184886</v>
      </c>
      <c r="O2" s="11">
        <f t="shared" ref="O2:O65" si="5">IF(Q2=0,0,E2/Q2)</f>
        <v>1.6999809679173463</v>
      </c>
      <c r="P2" s="12">
        <v>3851</v>
      </c>
      <c r="Q2">
        <v>3678</v>
      </c>
      <c r="R2" s="14">
        <v>7.58</v>
      </c>
      <c r="S2" s="11">
        <v>9545.9500000000007</v>
      </c>
      <c r="T2" s="15">
        <v>52.67</v>
      </c>
      <c r="U2" t="s">
        <v>23</v>
      </c>
    </row>
    <row r="3" spans="1:21" x14ac:dyDescent="0.3">
      <c r="A3" s="10">
        <v>45663</v>
      </c>
      <c r="B3" t="s">
        <v>24</v>
      </c>
      <c r="C3" t="s">
        <v>25</v>
      </c>
      <c r="D3" s="11">
        <v>8154.19</v>
      </c>
      <c r="E3" s="11">
        <v>7926.38</v>
      </c>
      <c r="F3" s="12">
        <v>129594</v>
      </c>
      <c r="G3" s="12">
        <v>50263</v>
      </c>
      <c r="H3" s="13">
        <f t="shared" si="0"/>
        <v>0.38784974613022205</v>
      </c>
      <c r="I3">
        <v>0.16</v>
      </c>
      <c r="J3">
        <v>61.16</v>
      </c>
      <c r="K3">
        <f t="shared" si="1"/>
        <v>2.7520242531899806</v>
      </c>
      <c r="L3">
        <f t="shared" si="2"/>
        <v>1.7520242531899806</v>
      </c>
      <c r="M3">
        <f t="shared" si="3"/>
        <v>0</v>
      </c>
      <c r="N3" s="11">
        <f t="shared" si="4"/>
        <v>2.5552482269503547</v>
      </c>
      <c r="O3" s="11">
        <f t="shared" si="5"/>
        <v>3.9336873449131513</v>
      </c>
      <c r="P3" s="12">
        <v>3102</v>
      </c>
      <c r="Q3">
        <v>2015</v>
      </c>
      <c r="R3" s="14">
        <v>4.01</v>
      </c>
      <c r="S3" s="11">
        <v>21813.59</v>
      </c>
      <c r="T3" s="15">
        <v>175.2</v>
      </c>
      <c r="U3" t="s">
        <v>23</v>
      </c>
    </row>
    <row r="4" spans="1:21" x14ac:dyDescent="0.3">
      <c r="A4" s="10">
        <v>45663</v>
      </c>
      <c r="B4" t="s">
        <v>26</v>
      </c>
      <c r="C4" t="s">
        <v>27</v>
      </c>
      <c r="D4" s="11">
        <v>11482.92</v>
      </c>
      <c r="E4" s="11">
        <v>11393.55</v>
      </c>
      <c r="F4" s="12">
        <v>1140956</v>
      </c>
      <c r="G4" s="12">
        <v>10646</v>
      </c>
      <c r="H4" s="13">
        <f t="shared" si="0"/>
        <v>9.3307717387874738E-3</v>
      </c>
      <c r="I4">
        <v>1.07</v>
      </c>
      <c r="J4">
        <v>9.99</v>
      </c>
      <c r="K4">
        <f t="shared" si="1"/>
        <v>1.7655410297931724</v>
      </c>
      <c r="L4">
        <f t="shared" si="2"/>
        <v>0.76554102979317251</v>
      </c>
      <c r="M4">
        <f t="shared" si="3"/>
        <v>0</v>
      </c>
      <c r="N4" s="11">
        <f t="shared" si="4"/>
        <v>9.4473880597014919</v>
      </c>
      <c r="O4" s="11">
        <f t="shared" si="5"/>
        <v>9.5905303030303024</v>
      </c>
      <c r="P4" s="12">
        <v>1206</v>
      </c>
      <c r="Q4">
        <v>1188</v>
      </c>
      <c r="R4" s="14">
        <v>11.16</v>
      </c>
      <c r="S4" s="11">
        <v>20115.78</v>
      </c>
      <c r="T4" s="15">
        <v>76.55</v>
      </c>
      <c r="U4" t="s">
        <v>23</v>
      </c>
    </row>
    <row r="5" spans="1:21" x14ac:dyDescent="0.3">
      <c r="A5" s="10">
        <v>45663</v>
      </c>
      <c r="B5" t="s">
        <v>28</v>
      </c>
      <c r="C5" t="s">
        <v>29</v>
      </c>
      <c r="D5" s="11">
        <v>4957.82</v>
      </c>
      <c r="E5" s="11">
        <v>4838.8900000000003</v>
      </c>
      <c r="F5" s="12">
        <v>264675</v>
      </c>
      <c r="G5" s="12">
        <v>12179</v>
      </c>
      <c r="H5" s="13">
        <f t="shared" si="0"/>
        <v>4.601492396335128E-2</v>
      </c>
      <c r="I5">
        <v>0.4</v>
      </c>
      <c r="J5">
        <v>18.28</v>
      </c>
      <c r="K5">
        <f t="shared" si="1"/>
        <v>1.2870389696810631</v>
      </c>
      <c r="L5">
        <f t="shared" si="2"/>
        <v>0.28703896968106318</v>
      </c>
      <c r="M5">
        <f t="shared" si="3"/>
        <v>0</v>
      </c>
      <c r="N5" s="11">
        <f t="shared" si="4"/>
        <v>1.3928871617731722</v>
      </c>
      <c r="O5" s="11">
        <f t="shared" si="5"/>
        <v>49.885463917525776</v>
      </c>
      <c r="P5" s="12">
        <v>3474</v>
      </c>
      <c r="Q5">
        <v>97</v>
      </c>
      <c r="R5" s="14">
        <v>0.8</v>
      </c>
      <c r="S5" s="11">
        <v>6227.84</v>
      </c>
      <c r="T5" s="15">
        <v>28.7</v>
      </c>
      <c r="U5" t="s">
        <v>23</v>
      </c>
    </row>
    <row r="6" spans="1:21" x14ac:dyDescent="0.3">
      <c r="A6" s="10">
        <v>45670</v>
      </c>
      <c r="B6" t="s">
        <v>21</v>
      </c>
      <c r="C6" t="s">
        <v>22</v>
      </c>
      <c r="D6" s="11">
        <v>9728.52</v>
      </c>
      <c r="E6" s="11">
        <v>8314.81</v>
      </c>
      <c r="F6" s="12">
        <v>1280944</v>
      </c>
      <c r="G6" s="12">
        <v>41618</v>
      </c>
      <c r="H6" s="13">
        <f t="shared" si="0"/>
        <v>3.2490101050475277E-2</v>
      </c>
      <c r="I6">
        <v>0.2</v>
      </c>
      <c r="J6">
        <v>6.49</v>
      </c>
      <c r="K6">
        <f t="shared" si="1"/>
        <v>2.7974493704606598</v>
      </c>
      <c r="L6">
        <f t="shared" si="2"/>
        <v>1.79744937046066</v>
      </c>
      <c r="M6">
        <f t="shared" si="3"/>
        <v>0</v>
      </c>
      <c r="N6" s="11">
        <f t="shared" si="4"/>
        <v>6.1183296541574688</v>
      </c>
      <c r="O6" s="11">
        <f t="shared" si="5"/>
        <v>6.6042970611596505</v>
      </c>
      <c r="P6" s="12">
        <v>1359</v>
      </c>
      <c r="Q6">
        <v>1259</v>
      </c>
      <c r="R6" s="14">
        <v>3.03</v>
      </c>
      <c r="S6" s="11">
        <v>23260.26</v>
      </c>
      <c r="T6" s="15">
        <v>179.74</v>
      </c>
      <c r="U6" t="s">
        <v>23</v>
      </c>
    </row>
    <row r="7" spans="1:21" x14ac:dyDescent="0.3">
      <c r="A7" s="10">
        <v>45670</v>
      </c>
      <c r="B7" t="s">
        <v>24</v>
      </c>
      <c r="C7" t="s">
        <v>30</v>
      </c>
      <c r="D7" s="11">
        <v>3742.34</v>
      </c>
      <c r="E7" s="11">
        <v>2966.79</v>
      </c>
      <c r="F7" s="12">
        <v>425787</v>
      </c>
      <c r="G7" s="12">
        <v>18493</v>
      </c>
      <c r="H7" s="13">
        <f t="shared" si="0"/>
        <v>4.3432514379255355E-2</v>
      </c>
      <c r="I7">
        <v>0.16</v>
      </c>
      <c r="J7">
        <v>6.97</v>
      </c>
      <c r="K7">
        <f t="shared" si="1"/>
        <v>2.3043120679252662</v>
      </c>
      <c r="L7">
        <f t="shared" si="2"/>
        <v>1.304312067925266</v>
      </c>
      <c r="M7">
        <f t="shared" si="3"/>
        <v>0</v>
      </c>
      <c r="N7" s="11">
        <f t="shared" si="4"/>
        <v>0.89957246816252268</v>
      </c>
      <c r="O7" s="11">
        <f t="shared" si="5"/>
        <v>1.261390306122449</v>
      </c>
      <c r="P7" s="12">
        <v>3298</v>
      </c>
      <c r="Q7">
        <v>2352</v>
      </c>
      <c r="R7" s="14">
        <v>12.72</v>
      </c>
      <c r="S7" s="11">
        <v>6836.41</v>
      </c>
      <c r="T7" s="15">
        <v>130.43</v>
      </c>
      <c r="U7" t="s">
        <v>23</v>
      </c>
    </row>
    <row r="8" spans="1:21" x14ac:dyDescent="0.3">
      <c r="A8" s="10">
        <v>45670</v>
      </c>
      <c r="B8" t="s">
        <v>26</v>
      </c>
      <c r="C8" t="s">
        <v>27</v>
      </c>
      <c r="D8" s="11">
        <v>7592.62</v>
      </c>
      <c r="E8" s="11">
        <v>5927.58</v>
      </c>
      <c r="F8" s="12">
        <v>1219486</v>
      </c>
      <c r="G8" s="12">
        <v>55581</v>
      </c>
      <c r="H8" s="13">
        <f t="shared" si="0"/>
        <v>4.5577399002530578E-2</v>
      </c>
      <c r="I8">
        <v>0.11</v>
      </c>
      <c r="J8">
        <v>4.8600000000000003</v>
      </c>
      <c r="K8">
        <f t="shared" si="1"/>
        <v>4.0532628829977835</v>
      </c>
      <c r="L8">
        <f t="shared" si="2"/>
        <v>3.053262882997783</v>
      </c>
      <c r="M8">
        <f t="shared" si="3"/>
        <v>0</v>
      </c>
      <c r="N8" s="11">
        <f t="shared" si="4"/>
        <v>12.097102040816326</v>
      </c>
      <c r="O8" s="11">
        <f t="shared" si="5"/>
        <v>95.606129032258067</v>
      </c>
      <c r="P8" s="12">
        <v>490</v>
      </c>
      <c r="Q8">
        <v>62</v>
      </c>
      <c r="R8" s="14">
        <v>0.11</v>
      </c>
      <c r="S8" s="11">
        <v>24026.04</v>
      </c>
      <c r="T8" s="15">
        <v>305.33</v>
      </c>
      <c r="U8" t="s">
        <v>23</v>
      </c>
    </row>
    <row r="9" spans="1:21" x14ac:dyDescent="0.3">
      <c r="A9" s="10">
        <v>45670</v>
      </c>
      <c r="B9" t="s">
        <v>28</v>
      </c>
      <c r="C9" t="s">
        <v>31</v>
      </c>
      <c r="D9" s="11">
        <v>11082.72</v>
      </c>
      <c r="E9" s="11">
        <v>8529.42</v>
      </c>
      <c r="F9" s="12">
        <v>460113</v>
      </c>
      <c r="G9" s="12">
        <v>51358</v>
      </c>
      <c r="H9" s="13">
        <f t="shared" si="0"/>
        <v>0.11162040629149796</v>
      </c>
      <c r="I9">
        <v>0.17</v>
      </c>
      <c r="J9">
        <v>18.54</v>
      </c>
      <c r="K9">
        <f t="shared" si="1"/>
        <v>3.3435919441181232</v>
      </c>
      <c r="L9">
        <f t="shared" si="2"/>
        <v>2.3435919441181232</v>
      </c>
      <c r="M9">
        <f t="shared" si="3"/>
        <v>0</v>
      </c>
      <c r="N9" s="11">
        <f t="shared" si="4"/>
        <v>17.994556962025317</v>
      </c>
      <c r="O9" s="11">
        <f t="shared" si="5"/>
        <v>43.51744897959184</v>
      </c>
      <c r="P9" s="12">
        <v>474</v>
      </c>
      <c r="Q9">
        <v>196</v>
      </c>
      <c r="R9" s="14">
        <v>0.38</v>
      </c>
      <c r="S9" s="11">
        <v>28518.9</v>
      </c>
      <c r="T9" s="15">
        <v>234.36</v>
      </c>
      <c r="U9" t="s">
        <v>23</v>
      </c>
    </row>
    <row r="10" spans="1:21" x14ac:dyDescent="0.3">
      <c r="A10" s="10">
        <v>45677</v>
      </c>
      <c r="B10" t="s">
        <v>21</v>
      </c>
      <c r="C10" t="s">
        <v>32</v>
      </c>
      <c r="D10" s="11">
        <v>6037.77</v>
      </c>
      <c r="E10" s="11">
        <v>5985.02</v>
      </c>
      <c r="F10" s="12">
        <v>1497727</v>
      </c>
      <c r="G10" s="12">
        <v>27485</v>
      </c>
      <c r="H10" s="13">
        <f t="shared" si="0"/>
        <v>1.8351141429646389E-2</v>
      </c>
      <c r="I10">
        <v>0.22</v>
      </c>
      <c r="J10">
        <v>4</v>
      </c>
      <c r="K10">
        <f t="shared" si="1"/>
        <v>3.4260503724298328</v>
      </c>
      <c r="L10">
        <f t="shared" si="2"/>
        <v>2.4260503724298328</v>
      </c>
      <c r="M10">
        <f t="shared" si="3"/>
        <v>0</v>
      </c>
      <c r="N10" s="11">
        <f t="shared" si="4"/>
        <v>3.96358940397351</v>
      </c>
      <c r="O10" s="11">
        <f t="shared" si="5"/>
        <v>28.365023696682467</v>
      </c>
      <c r="P10" s="12">
        <v>1510</v>
      </c>
      <c r="Q10">
        <v>211</v>
      </c>
      <c r="R10" s="14">
        <v>0.77</v>
      </c>
      <c r="S10" s="11">
        <v>20504.98</v>
      </c>
      <c r="T10" s="15">
        <v>242.61</v>
      </c>
      <c r="U10" t="s">
        <v>23</v>
      </c>
    </row>
    <row r="11" spans="1:21" x14ac:dyDescent="0.3">
      <c r="A11" s="10">
        <v>45677</v>
      </c>
      <c r="B11" t="s">
        <v>24</v>
      </c>
      <c r="C11" t="s">
        <v>33</v>
      </c>
      <c r="D11" s="11">
        <v>9999.56</v>
      </c>
      <c r="E11" s="11">
        <v>9474.2099999999991</v>
      </c>
      <c r="F11" s="12">
        <v>1288545</v>
      </c>
      <c r="G11" s="12">
        <v>17302</v>
      </c>
      <c r="H11" s="13">
        <f t="shared" si="0"/>
        <v>1.3427548125987064E-2</v>
      </c>
      <c r="I11">
        <v>0.55000000000000004</v>
      </c>
      <c r="J11">
        <v>7.35</v>
      </c>
      <c r="K11">
        <f t="shared" si="1"/>
        <v>2.0356093014615468</v>
      </c>
      <c r="L11">
        <f t="shared" si="2"/>
        <v>1.0356093014615468</v>
      </c>
      <c r="M11">
        <f t="shared" si="3"/>
        <v>0</v>
      </c>
      <c r="N11" s="11">
        <f t="shared" si="4"/>
        <v>3.6807342657342654</v>
      </c>
      <c r="O11" s="11">
        <f t="shared" si="5"/>
        <v>5.862753712871287</v>
      </c>
      <c r="P11" s="12">
        <v>2574</v>
      </c>
      <c r="Q11">
        <v>1616</v>
      </c>
      <c r="R11" s="14">
        <v>9.34</v>
      </c>
      <c r="S11" s="11">
        <v>19285.79</v>
      </c>
      <c r="T11" s="15">
        <v>103.56</v>
      </c>
      <c r="U11" t="s">
        <v>23</v>
      </c>
    </row>
    <row r="12" spans="1:21" x14ac:dyDescent="0.3">
      <c r="A12" s="10">
        <v>45677</v>
      </c>
      <c r="B12" t="s">
        <v>26</v>
      </c>
      <c r="C12" t="s">
        <v>34</v>
      </c>
      <c r="D12" s="11">
        <v>10092.530000000001</v>
      </c>
      <c r="E12" s="11">
        <v>9694.2099999999991</v>
      </c>
      <c r="F12" s="12">
        <v>924604</v>
      </c>
      <c r="G12" s="12">
        <v>32924</v>
      </c>
      <c r="H12" s="13">
        <f t="shared" si="0"/>
        <v>3.5608757911495086E-2</v>
      </c>
      <c r="I12">
        <v>0.28999999999999998</v>
      </c>
      <c r="J12">
        <v>10.48</v>
      </c>
      <c r="K12">
        <f t="shared" si="1"/>
        <v>4.611062685871258</v>
      </c>
      <c r="L12">
        <f t="shared" si="2"/>
        <v>3.6110626858712576</v>
      </c>
      <c r="M12">
        <f t="shared" si="3"/>
        <v>0</v>
      </c>
      <c r="N12" s="11">
        <f t="shared" si="4"/>
        <v>5.6133236826867394</v>
      </c>
      <c r="O12" s="11">
        <f t="shared" si="5"/>
        <v>19.865184426229508</v>
      </c>
      <c r="P12" s="12">
        <v>1727</v>
      </c>
      <c r="Q12">
        <v>488</v>
      </c>
      <c r="R12" s="14">
        <v>1.48</v>
      </c>
      <c r="S12" s="11">
        <v>44700.61</v>
      </c>
      <c r="T12" s="15">
        <v>361.11</v>
      </c>
      <c r="U12" t="s">
        <v>23</v>
      </c>
    </row>
    <row r="13" spans="1:21" x14ac:dyDescent="0.3">
      <c r="A13" s="10">
        <v>45677</v>
      </c>
      <c r="B13" t="s">
        <v>28</v>
      </c>
      <c r="C13" t="s">
        <v>35</v>
      </c>
      <c r="D13" s="11">
        <v>10691.95</v>
      </c>
      <c r="E13" s="11">
        <v>8590.59</v>
      </c>
      <c r="F13" s="12">
        <v>941555</v>
      </c>
      <c r="G13" s="12">
        <v>32005</v>
      </c>
      <c r="H13" s="13">
        <f t="shared" si="0"/>
        <v>3.3991641486689574E-2</v>
      </c>
      <c r="I13">
        <v>0.27</v>
      </c>
      <c r="J13">
        <v>9.1199999999999992</v>
      </c>
      <c r="K13">
        <f t="shared" si="1"/>
        <v>3.2878347121676157</v>
      </c>
      <c r="L13">
        <f t="shared" si="2"/>
        <v>2.2878347121676157</v>
      </c>
      <c r="M13">
        <f t="shared" si="3"/>
        <v>0</v>
      </c>
      <c r="N13" s="11">
        <f t="shared" si="4"/>
        <v>18.756746724890832</v>
      </c>
      <c r="O13" s="11">
        <f t="shared" si="5"/>
        <v>36.869484978540775</v>
      </c>
      <c r="P13" s="12">
        <v>458</v>
      </c>
      <c r="Q13">
        <v>233</v>
      </c>
      <c r="R13" s="14">
        <v>0.73</v>
      </c>
      <c r="S13" s="11">
        <v>28244.44</v>
      </c>
      <c r="T13" s="15">
        <v>228.78</v>
      </c>
      <c r="U13" t="s">
        <v>23</v>
      </c>
    </row>
    <row r="14" spans="1:21" x14ac:dyDescent="0.3">
      <c r="A14" s="10">
        <v>45684</v>
      </c>
      <c r="B14" t="s">
        <v>21</v>
      </c>
      <c r="C14" t="s">
        <v>22</v>
      </c>
      <c r="D14" s="11">
        <v>4045.38</v>
      </c>
      <c r="E14" s="11">
        <v>3241.68</v>
      </c>
      <c r="F14" s="12">
        <v>1302590</v>
      </c>
      <c r="G14" s="12">
        <v>31912</v>
      </c>
      <c r="H14" s="13">
        <f t="shared" si="0"/>
        <v>2.4498882994649123E-2</v>
      </c>
      <c r="I14">
        <v>0.1</v>
      </c>
      <c r="J14">
        <v>2.4900000000000002</v>
      </c>
      <c r="K14">
        <f t="shared" si="1"/>
        <v>4.0168924755065278</v>
      </c>
      <c r="L14">
        <f t="shared" si="2"/>
        <v>3.0168924755065274</v>
      </c>
      <c r="M14">
        <f t="shared" si="3"/>
        <v>0</v>
      </c>
      <c r="N14" s="11">
        <f t="shared" si="4"/>
        <v>2.6227184466019415</v>
      </c>
      <c r="O14" s="11">
        <f t="shared" si="5"/>
        <v>4.1190343074968228</v>
      </c>
      <c r="P14" s="12">
        <v>1236</v>
      </c>
      <c r="Q14">
        <v>787</v>
      </c>
      <c r="R14" s="14">
        <v>2.4700000000000002</v>
      </c>
      <c r="S14" s="11">
        <v>13021.48</v>
      </c>
      <c r="T14" s="15">
        <v>301.69</v>
      </c>
      <c r="U14" t="s">
        <v>23</v>
      </c>
    </row>
    <row r="15" spans="1:21" x14ac:dyDescent="0.3">
      <c r="A15" s="10">
        <v>45684</v>
      </c>
      <c r="B15" t="s">
        <v>24</v>
      </c>
      <c r="C15" t="s">
        <v>30</v>
      </c>
      <c r="D15" s="11">
        <v>6041.54</v>
      </c>
      <c r="E15" s="11">
        <v>5803.29</v>
      </c>
      <c r="F15" s="12">
        <v>1346529</v>
      </c>
      <c r="G15" s="12">
        <v>57224</v>
      </c>
      <c r="H15" s="13">
        <f t="shared" si="0"/>
        <v>4.2497413720759075E-2</v>
      </c>
      <c r="I15">
        <v>0.1</v>
      </c>
      <c r="J15">
        <v>4.3099999999999996</v>
      </c>
      <c r="K15">
        <f t="shared" si="1"/>
        <v>1.5613488210997553</v>
      </c>
      <c r="L15">
        <f t="shared" si="2"/>
        <v>0.56134882109975537</v>
      </c>
      <c r="M15">
        <f t="shared" si="3"/>
        <v>0</v>
      </c>
      <c r="N15" s="11">
        <f t="shared" si="4"/>
        <v>1.9786191612683259</v>
      </c>
      <c r="O15" s="11">
        <f t="shared" si="5"/>
        <v>23.59060975609756</v>
      </c>
      <c r="P15" s="12">
        <v>2933</v>
      </c>
      <c r="Q15">
        <v>246</v>
      </c>
      <c r="R15" s="14">
        <v>0.43</v>
      </c>
      <c r="S15" s="11">
        <v>9060.9599999999991</v>
      </c>
      <c r="T15" s="15">
        <v>56.13</v>
      </c>
      <c r="U15" t="s">
        <v>23</v>
      </c>
    </row>
    <row r="16" spans="1:21" x14ac:dyDescent="0.3">
      <c r="A16" s="10">
        <v>45684</v>
      </c>
      <c r="B16" t="s">
        <v>26</v>
      </c>
      <c r="C16" t="s">
        <v>36</v>
      </c>
      <c r="D16" s="11">
        <v>10876</v>
      </c>
      <c r="E16" s="11">
        <v>8807.51</v>
      </c>
      <c r="F16" s="12">
        <v>1185783</v>
      </c>
      <c r="G16" s="12">
        <v>18950</v>
      </c>
      <c r="H16" s="13">
        <f t="shared" si="0"/>
        <v>1.5981001582920314E-2</v>
      </c>
      <c r="I16">
        <v>0.46</v>
      </c>
      <c r="J16">
        <v>7.43</v>
      </c>
      <c r="K16">
        <f t="shared" si="1"/>
        <v>2.5667697226571411</v>
      </c>
      <c r="L16">
        <f t="shared" si="2"/>
        <v>1.5667697226571413</v>
      </c>
      <c r="M16">
        <f t="shared" si="3"/>
        <v>0</v>
      </c>
      <c r="N16" s="11">
        <f t="shared" si="4"/>
        <v>7.8991121076233188</v>
      </c>
      <c r="O16" s="11">
        <f t="shared" si="5"/>
        <v>9.3896695095948832</v>
      </c>
      <c r="P16" s="12">
        <v>1115</v>
      </c>
      <c r="Q16">
        <v>938</v>
      </c>
      <c r="R16" s="14">
        <v>4.95</v>
      </c>
      <c r="S16" s="11">
        <v>22606.85</v>
      </c>
      <c r="T16" s="15">
        <v>156.68</v>
      </c>
      <c r="U16" t="s">
        <v>23</v>
      </c>
    </row>
    <row r="17" spans="1:21" x14ac:dyDescent="0.3">
      <c r="A17" s="10">
        <v>45684</v>
      </c>
      <c r="B17" t="s">
        <v>28</v>
      </c>
      <c r="C17" t="s">
        <v>31</v>
      </c>
      <c r="D17" s="11">
        <v>7591.81</v>
      </c>
      <c r="E17" s="11">
        <v>7442.16</v>
      </c>
      <c r="F17" s="12">
        <v>102591</v>
      </c>
      <c r="G17" s="12">
        <v>8597</v>
      </c>
      <c r="H17" s="13">
        <f t="shared" si="0"/>
        <v>8.3798773771578405E-2</v>
      </c>
      <c r="I17">
        <v>0.87</v>
      </c>
      <c r="J17">
        <v>72.540000000000006</v>
      </c>
      <c r="K17">
        <f t="shared" si="1"/>
        <v>2.804856385780472</v>
      </c>
      <c r="L17">
        <f t="shared" si="2"/>
        <v>1.8048563857804722</v>
      </c>
      <c r="M17">
        <f t="shared" si="3"/>
        <v>0</v>
      </c>
      <c r="N17" s="11">
        <f t="shared" si="4"/>
        <v>9.2449192546583845</v>
      </c>
      <c r="O17" s="11">
        <f t="shared" si="5"/>
        <v>17.14783410138249</v>
      </c>
      <c r="P17" s="12">
        <v>805</v>
      </c>
      <c r="Q17">
        <v>434</v>
      </c>
      <c r="R17" s="14">
        <v>5.05</v>
      </c>
      <c r="S17" s="11">
        <v>20874.189999999999</v>
      </c>
      <c r="T17" s="15">
        <v>180.49</v>
      </c>
      <c r="U17" t="s">
        <v>23</v>
      </c>
    </row>
    <row r="18" spans="1:21" x14ac:dyDescent="0.3">
      <c r="A18" s="10">
        <v>45691</v>
      </c>
      <c r="B18" t="s">
        <v>21</v>
      </c>
      <c r="C18" t="s">
        <v>37</v>
      </c>
      <c r="D18" s="11">
        <v>9433.15</v>
      </c>
      <c r="E18" s="11">
        <v>9345.0499999999993</v>
      </c>
      <c r="F18" s="12">
        <v>553608</v>
      </c>
      <c r="G18" s="12">
        <v>58801</v>
      </c>
      <c r="H18" s="13">
        <f t="shared" si="0"/>
        <v>0.10621414430427306</v>
      </c>
      <c r="I18">
        <v>0.16</v>
      </c>
      <c r="J18">
        <v>16.88</v>
      </c>
      <c r="K18">
        <f t="shared" si="1"/>
        <v>3.2972407852285439</v>
      </c>
      <c r="L18">
        <f t="shared" si="2"/>
        <v>2.2972407852285439</v>
      </c>
      <c r="M18">
        <f t="shared" si="3"/>
        <v>0</v>
      </c>
      <c r="N18" s="11">
        <f t="shared" si="4"/>
        <v>9.3170987038883339</v>
      </c>
      <c r="O18" s="11">
        <f t="shared" si="5"/>
        <v>24.399608355091381</v>
      </c>
      <c r="P18" s="12">
        <v>1003</v>
      </c>
      <c r="Q18">
        <v>383</v>
      </c>
      <c r="R18" s="14">
        <v>0.65</v>
      </c>
      <c r="S18" s="11">
        <v>30812.880000000001</v>
      </c>
      <c r="T18" s="15">
        <v>229.72</v>
      </c>
      <c r="U18" t="s">
        <v>38</v>
      </c>
    </row>
    <row r="19" spans="1:21" x14ac:dyDescent="0.3">
      <c r="A19" s="10">
        <v>45691</v>
      </c>
      <c r="B19" t="s">
        <v>24</v>
      </c>
      <c r="C19" t="s">
        <v>30</v>
      </c>
      <c r="D19" s="11">
        <v>3921.73</v>
      </c>
      <c r="E19" s="11">
        <v>2982.5</v>
      </c>
      <c r="F19" s="12">
        <v>760799</v>
      </c>
      <c r="G19" s="12">
        <v>55733</v>
      </c>
      <c r="H19" s="13">
        <f t="shared" si="0"/>
        <v>7.3255879673869179E-2</v>
      </c>
      <c r="I19">
        <v>0.05</v>
      </c>
      <c r="J19">
        <v>3.92</v>
      </c>
      <c r="K19">
        <f t="shared" si="1"/>
        <v>3.5777736797988262</v>
      </c>
      <c r="L19">
        <f t="shared" si="2"/>
        <v>2.5777736797988262</v>
      </c>
      <c r="M19">
        <f t="shared" si="3"/>
        <v>0</v>
      </c>
      <c r="N19" s="11">
        <f t="shared" si="4"/>
        <v>1.0613879003558719</v>
      </c>
      <c r="O19" s="11">
        <f t="shared" si="5"/>
        <v>5.2416520210896307</v>
      </c>
      <c r="P19" s="12">
        <v>2810</v>
      </c>
      <c r="Q19">
        <v>569</v>
      </c>
      <c r="R19" s="14">
        <v>1.02</v>
      </c>
      <c r="S19" s="11">
        <v>10670.71</v>
      </c>
      <c r="T19" s="15">
        <v>257.77999999999997</v>
      </c>
      <c r="U19" t="s">
        <v>38</v>
      </c>
    </row>
    <row r="20" spans="1:21" x14ac:dyDescent="0.3">
      <c r="A20" s="10">
        <v>45691</v>
      </c>
      <c r="B20" t="s">
        <v>26</v>
      </c>
      <c r="C20" t="s">
        <v>36</v>
      </c>
      <c r="D20" s="11">
        <v>7134.92</v>
      </c>
      <c r="E20" s="11">
        <v>5845.47</v>
      </c>
      <c r="F20" s="12">
        <v>1399961</v>
      </c>
      <c r="G20" s="12">
        <v>26186</v>
      </c>
      <c r="H20" s="13">
        <f t="shared" si="0"/>
        <v>1.8704806776760209E-2</v>
      </c>
      <c r="I20">
        <v>0.22</v>
      </c>
      <c r="J20">
        <v>4.18</v>
      </c>
      <c r="K20">
        <f t="shared" si="1"/>
        <v>4.1288108569541881</v>
      </c>
      <c r="L20">
        <f t="shared" si="2"/>
        <v>3.1288108569541881</v>
      </c>
      <c r="M20">
        <f t="shared" si="3"/>
        <v>0</v>
      </c>
      <c r="N20" s="11">
        <f t="shared" si="4"/>
        <v>25.415086956521741</v>
      </c>
      <c r="O20" s="11">
        <f t="shared" si="5"/>
        <v>40.037465753424662</v>
      </c>
      <c r="P20" s="12">
        <v>230</v>
      </c>
      <c r="Q20">
        <v>146</v>
      </c>
      <c r="R20" s="14">
        <v>0.56000000000000005</v>
      </c>
      <c r="S20" s="11">
        <v>24134.84</v>
      </c>
      <c r="T20" s="15">
        <v>312.88</v>
      </c>
      <c r="U20" t="s">
        <v>38</v>
      </c>
    </row>
    <row r="21" spans="1:21" x14ac:dyDescent="0.3">
      <c r="A21" s="10">
        <v>45691</v>
      </c>
      <c r="B21" t="s">
        <v>28</v>
      </c>
      <c r="C21" t="s">
        <v>35</v>
      </c>
      <c r="D21" s="11">
        <v>3814.49</v>
      </c>
      <c r="E21" s="11">
        <v>3778.83</v>
      </c>
      <c r="F21" s="12">
        <v>532623</v>
      </c>
      <c r="G21" s="12">
        <v>4161</v>
      </c>
      <c r="H21" s="13">
        <f t="shared" si="0"/>
        <v>7.8122799803988941E-3</v>
      </c>
      <c r="I21">
        <v>0.91</v>
      </c>
      <c r="J21">
        <v>7.09</v>
      </c>
      <c r="K21">
        <f t="shared" si="1"/>
        <v>3.1719050605610732</v>
      </c>
      <c r="L21">
        <f t="shared" si="2"/>
        <v>2.1719050605610732</v>
      </c>
      <c r="M21">
        <f t="shared" si="3"/>
        <v>0</v>
      </c>
      <c r="N21" s="11">
        <f t="shared" si="4"/>
        <v>0.97719937936384793</v>
      </c>
      <c r="O21" s="11">
        <f t="shared" si="5"/>
        <v>3.561573986804901</v>
      </c>
      <c r="P21" s="12">
        <v>3867</v>
      </c>
      <c r="Q21">
        <v>1061</v>
      </c>
      <c r="R21" s="14">
        <v>25.5</v>
      </c>
      <c r="S21" s="11">
        <v>11986.09</v>
      </c>
      <c r="T21" s="15">
        <v>217.19</v>
      </c>
      <c r="U21" t="s">
        <v>38</v>
      </c>
    </row>
    <row r="22" spans="1:21" x14ac:dyDescent="0.3">
      <c r="A22" s="10">
        <v>45698</v>
      </c>
      <c r="B22" t="s">
        <v>21</v>
      </c>
      <c r="C22" t="s">
        <v>37</v>
      </c>
      <c r="D22" s="11">
        <v>7858.11</v>
      </c>
      <c r="E22" s="11">
        <v>6369.4</v>
      </c>
      <c r="F22" s="12">
        <v>794207</v>
      </c>
      <c r="G22" s="12">
        <v>27858</v>
      </c>
      <c r="H22" s="13">
        <f t="shared" si="0"/>
        <v>3.5076497688889673E-2</v>
      </c>
      <c r="I22">
        <v>0.23</v>
      </c>
      <c r="J22">
        <v>8.02</v>
      </c>
      <c r="K22">
        <f t="shared" si="1"/>
        <v>1.5652416240148208</v>
      </c>
      <c r="L22">
        <f t="shared" si="2"/>
        <v>0.56524162401482092</v>
      </c>
      <c r="M22">
        <f t="shared" si="3"/>
        <v>0</v>
      </c>
      <c r="N22" s="11">
        <f t="shared" si="4"/>
        <v>2.1381000335683114</v>
      </c>
      <c r="O22" s="11">
        <f t="shared" si="5"/>
        <v>6.2201171874999996</v>
      </c>
      <c r="P22" s="12">
        <v>2979</v>
      </c>
      <c r="Q22">
        <v>1024</v>
      </c>
      <c r="R22" s="14">
        <v>3.68</v>
      </c>
      <c r="S22" s="11">
        <v>9969.65</v>
      </c>
      <c r="T22" s="15">
        <v>56.52</v>
      </c>
      <c r="U22" t="s">
        <v>38</v>
      </c>
    </row>
    <row r="23" spans="1:21" x14ac:dyDescent="0.3">
      <c r="A23" s="10">
        <v>45698</v>
      </c>
      <c r="B23" t="s">
        <v>24</v>
      </c>
      <c r="C23" t="s">
        <v>30</v>
      </c>
      <c r="D23" s="11">
        <v>8557.09</v>
      </c>
      <c r="E23" s="11">
        <v>7876.82</v>
      </c>
      <c r="F23" s="12">
        <v>1039314</v>
      </c>
      <c r="G23" s="12">
        <v>20617</v>
      </c>
      <c r="H23" s="13">
        <f t="shared" si="0"/>
        <v>1.9837123333275603E-2</v>
      </c>
      <c r="I23">
        <v>0.38</v>
      </c>
      <c r="J23">
        <v>7.58</v>
      </c>
      <c r="K23">
        <f t="shared" si="1"/>
        <v>1.2955672466807673</v>
      </c>
      <c r="L23">
        <f t="shared" si="2"/>
        <v>0.29556724668076723</v>
      </c>
      <c r="M23">
        <f t="shared" si="3"/>
        <v>0</v>
      </c>
      <c r="N23" s="11">
        <f t="shared" si="4"/>
        <v>5.1081841763942926</v>
      </c>
      <c r="O23" s="11">
        <f t="shared" si="5"/>
        <v>92.668470588235294</v>
      </c>
      <c r="P23" s="12">
        <v>1542</v>
      </c>
      <c r="Q23">
        <v>85</v>
      </c>
      <c r="R23" s="14">
        <v>0.41</v>
      </c>
      <c r="S23" s="11">
        <v>10204.950000000001</v>
      </c>
      <c r="T23" s="15">
        <v>29.56</v>
      </c>
      <c r="U23" t="s">
        <v>38</v>
      </c>
    </row>
    <row r="24" spans="1:21" x14ac:dyDescent="0.3">
      <c r="A24" s="10">
        <v>45698</v>
      </c>
      <c r="B24" t="s">
        <v>26</v>
      </c>
      <c r="C24" t="s">
        <v>36</v>
      </c>
      <c r="D24" s="11">
        <v>4518.2700000000004</v>
      </c>
      <c r="E24" s="11">
        <v>4141.93</v>
      </c>
      <c r="F24" s="12">
        <v>1137815</v>
      </c>
      <c r="G24" s="12">
        <v>34148</v>
      </c>
      <c r="H24" s="13">
        <f t="shared" si="0"/>
        <v>3.0011908790093293E-2</v>
      </c>
      <c r="I24">
        <v>0.12</v>
      </c>
      <c r="J24">
        <v>3.64</v>
      </c>
      <c r="K24">
        <f t="shared" si="1"/>
        <v>2.9461917511884552</v>
      </c>
      <c r="L24">
        <f t="shared" si="2"/>
        <v>1.9461917511884554</v>
      </c>
      <c r="M24">
        <f t="shared" si="3"/>
        <v>0</v>
      </c>
      <c r="N24" s="11">
        <f t="shared" si="4"/>
        <v>1.4877622126436783</v>
      </c>
      <c r="O24" s="11">
        <f t="shared" si="5"/>
        <v>5.6123712737127374</v>
      </c>
      <c r="P24" s="12">
        <v>2784</v>
      </c>
      <c r="Q24">
        <v>738</v>
      </c>
      <c r="R24" s="14">
        <v>2.16</v>
      </c>
      <c r="S24" s="11">
        <v>12202.92</v>
      </c>
      <c r="T24" s="15">
        <v>194.62</v>
      </c>
      <c r="U24" t="s">
        <v>38</v>
      </c>
    </row>
    <row r="25" spans="1:21" x14ac:dyDescent="0.3">
      <c r="A25" s="10">
        <v>45698</v>
      </c>
      <c r="B25" t="s">
        <v>28</v>
      </c>
      <c r="C25" t="s">
        <v>29</v>
      </c>
      <c r="D25" s="11">
        <v>9997.09</v>
      </c>
      <c r="E25" s="11">
        <v>8824.5499999999993</v>
      </c>
      <c r="F25" s="12">
        <v>1493294</v>
      </c>
      <c r="G25" s="12">
        <v>15564</v>
      </c>
      <c r="H25" s="13">
        <f t="shared" si="0"/>
        <v>1.0422595952304102E-2</v>
      </c>
      <c r="I25">
        <v>0.56999999999999995</v>
      </c>
      <c r="J25">
        <v>5.91</v>
      </c>
      <c r="K25">
        <f t="shared" si="1"/>
        <v>4.5729708597038954</v>
      </c>
      <c r="L25">
        <f t="shared" si="2"/>
        <v>3.5729708597038949</v>
      </c>
      <c r="M25">
        <f t="shared" si="3"/>
        <v>0</v>
      </c>
      <c r="N25" s="11">
        <f t="shared" si="4"/>
        <v>6.6600377358490563</v>
      </c>
      <c r="O25" s="11">
        <f t="shared" si="5"/>
        <v>20.861820330969266</v>
      </c>
      <c r="P25" s="12">
        <v>1325</v>
      </c>
      <c r="Q25">
        <v>423</v>
      </c>
      <c r="R25" s="14">
        <v>2.72</v>
      </c>
      <c r="S25" s="11">
        <v>40354.410000000003</v>
      </c>
      <c r="T25" s="15">
        <v>357.3</v>
      </c>
      <c r="U25" t="s">
        <v>38</v>
      </c>
    </row>
    <row r="26" spans="1:21" x14ac:dyDescent="0.3">
      <c r="A26" s="10">
        <v>45705</v>
      </c>
      <c r="B26" t="s">
        <v>21</v>
      </c>
      <c r="C26" t="s">
        <v>22</v>
      </c>
      <c r="D26" s="11">
        <v>8750.26</v>
      </c>
      <c r="E26" s="11">
        <v>7380.04</v>
      </c>
      <c r="F26" s="12">
        <v>914218</v>
      </c>
      <c r="G26" s="12">
        <v>19348</v>
      </c>
      <c r="H26" s="13">
        <f t="shared" si="0"/>
        <v>2.1163442417454041E-2</v>
      </c>
      <c r="I26">
        <v>0.38</v>
      </c>
      <c r="J26">
        <v>8.07</v>
      </c>
      <c r="K26">
        <f t="shared" si="1"/>
        <v>2.777963263071745</v>
      </c>
      <c r="L26">
        <f t="shared" si="2"/>
        <v>1.7779632630717448</v>
      </c>
      <c r="M26">
        <f t="shared" si="3"/>
        <v>0</v>
      </c>
      <c r="N26" s="11">
        <f t="shared" si="4"/>
        <v>2.6170354609929078</v>
      </c>
      <c r="O26" s="11">
        <f t="shared" si="5"/>
        <v>8.9455030303030298</v>
      </c>
      <c r="P26" s="12">
        <v>2820</v>
      </c>
      <c r="Q26">
        <v>825</v>
      </c>
      <c r="R26" s="14">
        <v>4.26</v>
      </c>
      <c r="S26" s="11">
        <v>20501.48</v>
      </c>
      <c r="T26" s="15">
        <v>177.8</v>
      </c>
      <c r="U26" t="s">
        <v>38</v>
      </c>
    </row>
    <row r="27" spans="1:21" x14ac:dyDescent="0.3">
      <c r="A27" s="10">
        <v>45705</v>
      </c>
      <c r="B27" t="s">
        <v>24</v>
      </c>
      <c r="C27" t="s">
        <v>25</v>
      </c>
      <c r="D27" s="11">
        <v>4262.03</v>
      </c>
      <c r="E27" s="11">
        <v>3416.37</v>
      </c>
      <c r="F27" s="12">
        <v>928220</v>
      </c>
      <c r="G27" s="12">
        <v>39365</v>
      </c>
      <c r="H27" s="13">
        <f t="shared" si="0"/>
        <v>4.2409127146581627E-2</v>
      </c>
      <c r="I27">
        <v>0.09</v>
      </c>
      <c r="J27">
        <v>3.68</v>
      </c>
      <c r="K27">
        <f t="shared" si="1"/>
        <v>2.508929067987367</v>
      </c>
      <c r="L27">
        <f t="shared" si="2"/>
        <v>1.5089290679873668</v>
      </c>
      <c r="M27">
        <f t="shared" si="3"/>
        <v>0</v>
      </c>
      <c r="N27" s="11">
        <f t="shared" si="4"/>
        <v>1.4612360992301112</v>
      </c>
      <c r="O27" s="11">
        <f t="shared" si="5"/>
        <v>17.43045918367347</v>
      </c>
      <c r="P27" s="12">
        <v>2338</v>
      </c>
      <c r="Q27">
        <v>196</v>
      </c>
      <c r="R27" s="14">
        <v>0.5</v>
      </c>
      <c r="S27" s="11">
        <v>8571.43</v>
      </c>
      <c r="T27" s="15">
        <v>150.88999999999999</v>
      </c>
      <c r="U27" t="s">
        <v>38</v>
      </c>
    </row>
    <row r="28" spans="1:21" x14ac:dyDescent="0.3">
      <c r="A28" s="10">
        <v>45705</v>
      </c>
      <c r="B28" t="s">
        <v>26</v>
      </c>
      <c r="C28" t="s">
        <v>36</v>
      </c>
      <c r="D28" s="11">
        <v>4501.75</v>
      </c>
      <c r="E28" s="11">
        <v>4304.88</v>
      </c>
      <c r="F28" s="12">
        <v>1428982</v>
      </c>
      <c r="G28" s="12">
        <v>43193</v>
      </c>
      <c r="H28" s="13">
        <f t="shared" si="0"/>
        <v>3.0226412928924227E-2</v>
      </c>
      <c r="I28">
        <v>0.1</v>
      </c>
      <c r="J28">
        <v>3.01</v>
      </c>
      <c r="K28">
        <f t="shared" si="1"/>
        <v>3.6555815725409304</v>
      </c>
      <c r="L28">
        <f t="shared" si="2"/>
        <v>2.65558157254093</v>
      </c>
      <c r="M28">
        <f t="shared" si="3"/>
        <v>0</v>
      </c>
      <c r="N28" s="11">
        <f t="shared" si="4"/>
        <v>1.1807131102578168</v>
      </c>
      <c r="O28" s="11">
        <f t="shared" si="5"/>
        <v>2.2503293256664927</v>
      </c>
      <c r="P28" s="12">
        <v>3646</v>
      </c>
      <c r="Q28">
        <v>1913</v>
      </c>
      <c r="R28" s="14">
        <v>4.43</v>
      </c>
      <c r="S28" s="11">
        <v>15736.84</v>
      </c>
      <c r="T28" s="15">
        <v>265.56</v>
      </c>
      <c r="U28" t="s">
        <v>38</v>
      </c>
    </row>
    <row r="29" spans="1:21" x14ac:dyDescent="0.3">
      <c r="A29" s="10">
        <v>45705</v>
      </c>
      <c r="B29" t="s">
        <v>28</v>
      </c>
      <c r="C29" t="s">
        <v>29</v>
      </c>
      <c r="D29" s="11">
        <v>6313.23</v>
      </c>
      <c r="E29" s="11">
        <v>5944.16</v>
      </c>
      <c r="F29" s="12">
        <v>628046</v>
      </c>
      <c r="G29" s="12">
        <v>7408</v>
      </c>
      <c r="H29" s="13">
        <f t="shared" si="0"/>
        <v>1.1795314355954819E-2</v>
      </c>
      <c r="I29">
        <v>0.8</v>
      </c>
      <c r="J29">
        <v>9.4600000000000009</v>
      </c>
      <c r="K29">
        <f t="shared" si="1"/>
        <v>1.2730814782912976</v>
      </c>
      <c r="L29">
        <f t="shared" si="2"/>
        <v>0.27308147829129764</v>
      </c>
      <c r="M29">
        <f t="shared" si="3"/>
        <v>0</v>
      </c>
      <c r="N29" s="11">
        <f t="shared" si="4"/>
        <v>1.9131509494689412</v>
      </c>
      <c r="O29" s="11">
        <f t="shared" si="5"/>
        <v>2.7828464419475654</v>
      </c>
      <c r="P29" s="12">
        <v>3107</v>
      </c>
      <c r="Q29">
        <v>2136</v>
      </c>
      <c r="R29" s="14">
        <v>28.83</v>
      </c>
      <c r="S29" s="11">
        <v>7567.4</v>
      </c>
      <c r="T29" s="15">
        <v>27.31</v>
      </c>
      <c r="U29" t="s">
        <v>38</v>
      </c>
    </row>
    <row r="30" spans="1:21" x14ac:dyDescent="0.3">
      <c r="A30" s="10">
        <v>45712</v>
      </c>
      <c r="B30" t="s">
        <v>21</v>
      </c>
      <c r="C30" t="s">
        <v>37</v>
      </c>
      <c r="D30" s="11">
        <v>9442.94</v>
      </c>
      <c r="E30" s="11">
        <v>8707.34</v>
      </c>
      <c r="F30" s="12">
        <v>1498701</v>
      </c>
      <c r="G30" s="12">
        <v>38394</v>
      </c>
      <c r="H30" s="13">
        <f t="shared" si="0"/>
        <v>2.5618185348511811E-2</v>
      </c>
      <c r="I30">
        <v>0.23</v>
      </c>
      <c r="J30">
        <v>5.81</v>
      </c>
      <c r="K30">
        <f t="shared" si="1"/>
        <v>4.2243256838483392</v>
      </c>
      <c r="L30">
        <f t="shared" si="2"/>
        <v>3.2243256838483392</v>
      </c>
      <c r="M30">
        <f t="shared" si="3"/>
        <v>0</v>
      </c>
      <c r="N30" s="11">
        <f t="shared" si="4"/>
        <v>7.2021009098428452</v>
      </c>
      <c r="O30" s="11">
        <f t="shared" si="5"/>
        <v>8.1073929236499076</v>
      </c>
      <c r="P30" s="12">
        <v>1209</v>
      </c>
      <c r="Q30">
        <v>1074</v>
      </c>
      <c r="R30" s="14">
        <v>2.8</v>
      </c>
      <c r="S30" s="11">
        <v>36782.639999999999</v>
      </c>
      <c r="T30" s="15">
        <v>322.43</v>
      </c>
      <c r="U30" t="s">
        <v>38</v>
      </c>
    </row>
    <row r="31" spans="1:21" x14ac:dyDescent="0.3">
      <c r="A31" s="10">
        <v>45712</v>
      </c>
      <c r="B31" t="s">
        <v>24</v>
      </c>
      <c r="C31" t="s">
        <v>30</v>
      </c>
      <c r="D31" s="11">
        <v>3215.1</v>
      </c>
      <c r="E31" s="11">
        <v>2411.9</v>
      </c>
      <c r="F31" s="12">
        <v>1360259</v>
      </c>
      <c r="G31" s="12">
        <v>44791</v>
      </c>
      <c r="H31" s="13">
        <f t="shared" si="0"/>
        <v>3.2928287921638454E-2</v>
      </c>
      <c r="I31">
        <v>0.05</v>
      </c>
      <c r="J31">
        <v>1.77</v>
      </c>
      <c r="K31">
        <f t="shared" si="1"/>
        <v>3.0197230399270287</v>
      </c>
      <c r="L31">
        <f t="shared" si="2"/>
        <v>2.0197230399270287</v>
      </c>
      <c r="M31">
        <f t="shared" si="3"/>
        <v>0</v>
      </c>
      <c r="N31" s="11">
        <f t="shared" si="4"/>
        <v>0.74533374536464769</v>
      </c>
      <c r="O31" s="11">
        <f t="shared" si="5"/>
        <v>1.9096595407759305</v>
      </c>
      <c r="P31" s="12">
        <v>3236</v>
      </c>
      <c r="Q31">
        <v>1263</v>
      </c>
      <c r="R31" s="14">
        <v>2.82</v>
      </c>
      <c r="S31" s="11">
        <v>7283.27</v>
      </c>
      <c r="T31" s="15">
        <v>201.97</v>
      </c>
      <c r="U31" t="s">
        <v>38</v>
      </c>
    </row>
    <row r="32" spans="1:21" x14ac:dyDescent="0.3">
      <c r="A32" s="10">
        <v>45712</v>
      </c>
      <c r="B32" t="s">
        <v>26</v>
      </c>
      <c r="C32" t="s">
        <v>36</v>
      </c>
      <c r="D32" s="11">
        <v>9975.0300000000007</v>
      </c>
      <c r="E32" s="11">
        <v>9247.69</v>
      </c>
      <c r="F32" s="12">
        <v>216327</v>
      </c>
      <c r="G32" s="12">
        <v>12160</v>
      </c>
      <c r="H32" s="13">
        <f t="shared" si="0"/>
        <v>5.62111987870215E-2</v>
      </c>
      <c r="I32">
        <v>0.76</v>
      </c>
      <c r="J32">
        <v>42.75</v>
      </c>
      <c r="K32">
        <f t="shared" si="1"/>
        <v>2.4978875805741754</v>
      </c>
      <c r="L32">
        <f t="shared" si="2"/>
        <v>1.4978875805741756</v>
      </c>
      <c r="M32">
        <f t="shared" si="3"/>
        <v>0</v>
      </c>
      <c r="N32" s="11">
        <f t="shared" si="4"/>
        <v>3.592731157731158</v>
      </c>
      <c r="O32" s="11">
        <f t="shared" si="5"/>
        <v>5.4366196355085243</v>
      </c>
      <c r="P32" s="12">
        <v>2574</v>
      </c>
      <c r="Q32">
        <v>1701</v>
      </c>
      <c r="R32" s="14">
        <v>13.99</v>
      </c>
      <c r="S32" s="11">
        <v>23099.69</v>
      </c>
      <c r="T32" s="15">
        <v>149.79</v>
      </c>
      <c r="U32" t="s">
        <v>38</v>
      </c>
    </row>
    <row r="33" spans="1:21" x14ac:dyDescent="0.3">
      <c r="A33" s="10">
        <v>45712</v>
      </c>
      <c r="B33" t="s">
        <v>28</v>
      </c>
      <c r="C33" t="s">
        <v>29</v>
      </c>
      <c r="D33" s="11">
        <v>6083.55</v>
      </c>
      <c r="E33" s="11">
        <v>5222.7700000000004</v>
      </c>
      <c r="F33" s="12">
        <v>902761</v>
      </c>
      <c r="G33" s="12">
        <v>37245</v>
      </c>
      <c r="H33" s="13">
        <f t="shared" si="0"/>
        <v>4.1256766741141898E-2</v>
      </c>
      <c r="I33">
        <v>0.14000000000000001</v>
      </c>
      <c r="J33">
        <v>5.79</v>
      </c>
      <c r="K33">
        <f t="shared" si="1"/>
        <v>4.1957352133063486</v>
      </c>
      <c r="L33">
        <f t="shared" si="2"/>
        <v>3.1957352133063486</v>
      </c>
      <c r="M33">
        <f t="shared" si="3"/>
        <v>0</v>
      </c>
      <c r="N33" s="11">
        <f t="shared" si="4"/>
        <v>1.5072929292929294</v>
      </c>
      <c r="O33" s="11">
        <f t="shared" si="5"/>
        <v>1.9124020505309411</v>
      </c>
      <c r="P33" s="12">
        <v>3465</v>
      </c>
      <c r="Q33">
        <v>2731</v>
      </c>
      <c r="R33" s="14">
        <v>7.33</v>
      </c>
      <c r="S33" s="11">
        <v>21913.360000000001</v>
      </c>
      <c r="T33" s="15">
        <v>319.57</v>
      </c>
      <c r="U33" t="s">
        <v>38</v>
      </c>
    </row>
    <row r="34" spans="1:21" x14ac:dyDescent="0.3">
      <c r="A34" s="10">
        <v>45719</v>
      </c>
      <c r="B34" t="s">
        <v>21</v>
      </c>
      <c r="C34" t="s">
        <v>32</v>
      </c>
      <c r="D34" s="11">
        <v>9229.9599999999991</v>
      </c>
      <c r="E34" s="11">
        <v>7063.37</v>
      </c>
      <c r="F34" s="12">
        <v>781670</v>
      </c>
      <c r="G34" s="12">
        <v>13406</v>
      </c>
      <c r="H34" s="13">
        <f t="shared" si="0"/>
        <v>1.7150459912750906E-2</v>
      </c>
      <c r="I34">
        <v>0.53</v>
      </c>
      <c r="J34">
        <v>9.0399999999999991</v>
      </c>
      <c r="K34">
        <f t="shared" si="1"/>
        <v>2.7808128414623616</v>
      </c>
      <c r="L34">
        <f t="shared" si="2"/>
        <v>1.7808128414623616</v>
      </c>
      <c r="M34">
        <f t="shared" si="3"/>
        <v>0</v>
      </c>
      <c r="N34" s="11">
        <f t="shared" si="4"/>
        <v>4.2886278081360052</v>
      </c>
      <c r="O34" s="11">
        <f t="shared" si="5"/>
        <v>7.8744370122630993</v>
      </c>
      <c r="P34" s="12">
        <v>1647</v>
      </c>
      <c r="Q34">
        <v>897</v>
      </c>
      <c r="R34" s="14">
        <v>6.69</v>
      </c>
      <c r="S34" s="11">
        <v>19641.91</v>
      </c>
      <c r="T34" s="15">
        <v>178.08</v>
      </c>
      <c r="U34" t="s">
        <v>39</v>
      </c>
    </row>
    <row r="35" spans="1:21" x14ac:dyDescent="0.3">
      <c r="A35" s="10">
        <v>45719</v>
      </c>
      <c r="B35" t="s">
        <v>24</v>
      </c>
      <c r="C35" t="s">
        <v>25</v>
      </c>
      <c r="D35" s="11">
        <v>6857.62</v>
      </c>
      <c r="E35" s="11">
        <v>5376.44</v>
      </c>
      <c r="F35" s="12">
        <v>997204</v>
      </c>
      <c r="G35" s="12">
        <v>55151</v>
      </c>
      <c r="H35" s="13">
        <f t="shared" si="0"/>
        <v>5.5305634554213584E-2</v>
      </c>
      <c r="I35">
        <v>0.1</v>
      </c>
      <c r="J35">
        <v>5.39</v>
      </c>
      <c r="K35">
        <f t="shared" si="1"/>
        <v>4.6862831167091983</v>
      </c>
      <c r="L35">
        <f t="shared" si="2"/>
        <v>3.6862831167091987</v>
      </c>
      <c r="M35">
        <f t="shared" si="3"/>
        <v>0</v>
      </c>
      <c r="N35" s="11">
        <f t="shared" si="4"/>
        <v>5.2453073170731708</v>
      </c>
      <c r="O35" s="11">
        <f t="shared" si="5"/>
        <v>11.713376906318082</v>
      </c>
      <c r="P35" s="12">
        <v>1025</v>
      </c>
      <c r="Q35">
        <v>459</v>
      </c>
      <c r="R35" s="14">
        <v>0.83</v>
      </c>
      <c r="S35" s="11">
        <v>25195.52</v>
      </c>
      <c r="T35" s="15">
        <v>368.63</v>
      </c>
      <c r="U35" t="s">
        <v>39</v>
      </c>
    </row>
    <row r="36" spans="1:21" x14ac:dyDescent="0.3">
      <c r="A36" s="10">
        <v>45719</v>
      </c>
      <c r="B36" t="s">
        <v>26</v>
      </c>
      <c r="C36" t="s">
        <v>34</v>
      </c>
      <c r="D36" s="11">
        <v>9307.4599999999991</v>
      </c>
      <c r="E36" s="11">
        <v>7852.25</v>
      </c>
      <c r="F36" s="12">
        <v>200714</v>
      </c>
      <c r="G36" s="12">
        <v>57256</v>
      </c>
      <c r="H36" s="13">
        <f t="shared" si="0"/>
        <v>0.28526161603077016</v>
      </c>
      <c r="I36">
        <v>0.14000000000000001</v>
      </c>
      <c r="J36">
        <v>39.119999999999997</v>
      </c>
      <c r="K36">
        <f t="shared" si="1"/>
        <v>4.5780916297876404</v>
      </c>
      <c r="L36">
        <f t="shared" si="2"/>
        <v>3.5780916297876404</v>
      </c>
      <c r="M36">
        <f t="shared" si="3"/>
        <v>0</v>
      </c>
      <c r="N36" s="11">
        <f t="shared" si="4"/>
        <v>5.92622641509434</v>
      </c>
      <c r="O36" s="11">
        <f t="shared" si="5"/>
        <v>76.982843137254903</v>
      </c>
      <c r="P36" s="12">
        <v>1325</v>
      </c>
      <c r="Q36">
        <v>102</v>
      </c>
      <c r="R36" s="14">
        <v>0.18</v>
      </c>
      <c r="S36" s="11">
        <v>35948.32</v>
      </c>
      <c r="T36" s="15">
        <v>357.81</v>
      </c>
      <c r="U36" t="s">
        <v>39</v>
      </c>
    </row>
    <row r="37" spans="1:21" x14ac:dyDescent="0.3">
      <c r="A37" s="10">
        <v>45719</v>
      </c>
      <c r="B37" t="s">
        <v>28</v>
      </c>
      <c r="C37" t="s">
        <v>31</v>
      </c>
      <c r="D37" s="11">
        <v>3512.17</v>
      </c>
      <c r="E37" s="11">
        <v>3400.35</v>
      </c>
      <c r="F37" s="12">
        <v>1107968</v>
      </c>
      <c r="G37" s="12">
        <v>48449</v>
      </c>
      <c r="H37" s="13">
        <f t="shared" si="0"/>
        <v>4.3727797192698703E-2</v>
      </c>
      <c r="I37">
        <v>7.0000000000000007E-2</v>
      </c>
      <c r="J37">
        <v>3.07</v>
      </c>
      <c r="K37">
        <f t="shared" si="1"/>
        <v>3.5463702265943211</v>
      </c>
      <c r="L37">
        <f t="shared" si="2"/>
        <v>2.5463702265943211</v>
      </c>
      <c r="M37">
        <f t="shared" si="3"/>
        <v>0</v>
      </c>
      <c r="N37" s="11">
        <f t="shared" si="4"/>
        <v>4.2771698113207544</v>
      </c>
      <c r="O37" s="11">
        <f t="shared" si="5"/>
        <v>4.387548387096774</v>
      </c>
      <c r="P37" s="12">
        <v>795</v>
      </c>
      <c r="Q37">
        <v>775</v>
      </c>
      <c r="R37" s="14">
        <v>1.6</v>
      </c>
      <c r="S37" s="11">
        <v>12058.9</v>
      </c>
      <c r="T37" s="15">
        <v>254.64</v>
      </c>
      <c r="U37" t="s">
        <v>39</v>
      </c>
    </row>
    <row r="38" spans="1:21" x14ac:dyDescent="0.3">
      <c r="A38" s="10">
        <v>45726</v>
      </c>
      <c r="B38" t="s">
        <v>21</v>
      </c>
      <c r="C38" t="s">
        <v>32</v>
      </c>
      <c r="D38" s="11">
        <v>11543.69</v>
      </c>
      <c r="E38" s="11">
        <v>9590.1299999999992</v>
      </c>
      <c r="F38" s="12">
        <v>185831</v>
      </c>
      <c r="G38" s="12">
        <v>56243</v>
      </c>
      <c r="H38" s="13">
        <f t="shared" si="0"/>
        <v>0.30265671497220592</v>
      </c>
      <c r="I38">
        <v>0.17</v>
      </c>
      <c r="J38">
        <v>51.61</v>
      </c>
      <c r="K38">
        <f t="shared" si="1"/>
        <v>1.3451621615139735</v>
      </c>
      <c r="L38">
        <f t="shared" si="2"/>
        <v>0.34516216151397339</v>
      </c>
      <c r="M38">
        <f t="shared" si="3"/>
        <v>0</v>
      </c>
      <c r="N38" s="11">
        <f t="shared" si="4"/>
        <v>2.6646651847735479</v>
      </c>
      <c r="O38" s="11">
        <f t="shared" si="5"/>
        <v>36.603549618320606</v>
      </c>
      <c r="P38" s="12">
        <v>3599</v>
      </c>
      <c r="Q38">
        <v>262</v>
      </c>
      <c r="R38" s="14">
        <v>0.47</v>
      </c>
      <c r="S38" s="11">
        <v>12900.28</v>
      </c>
      <c r="T38" s="15">
        <v>34.520000000000003</v>
      </c>
      <c r="U38" t="s">
        <v>39</v>
      </c>
    </row>
    <row r="39" spans="1:21" x14ac:dyDescent="0.3">
      <c r="A39" s="10">
        <v>45726</v>
      </c>
      <c r="B39" t="s">
        <v>24</v>
      </c>
      <c r="C39" t="s">
        <v>30</v>
      </c>
      <c r="D39" s="11">
        <v>9712.24</v>
      </c>
      <c r="E39" s="11">
        <v>8465.7999999999993</v>
      </c>
      <c r="F39" s="12">
        <v>1000351</v>
      </c>
      <c r="G39" s="12">
        <v>29250</v>
      </c>
      <c r="H39" s="13">
        <f t="shared" si="0"/>
        <v>2.923973685236482E-2</v>
      </c>
      <c r="I39">
        <v>0.28999999999999998</v>
      </c>
      <c r="J39">
        <v>8.4600000000000009</v>
      </c>
      <c r="K39">
        <f t="shared" si="1"/>
        <v>4.6759845495995656</v>
      </c>
      <c r="L39">
        <f t="shared" si="2"/>
        <v>3.6759845495995656</v>
      </c>
      <c r="M39">
        <f t="shared" si="3"/>
        <v>0</v>
      </c>
      <c r="N39" s="11">
        <f t="shared" si="4"/>
        <v>2.5491719361638059</v>
      </c>
      <c r="O39" s="11">
        <f t="shared" si="5"/>
        <v>4.4887592788971364</v>
      </c>
      <c r="P39" s="12">
        <v>3321</v>
      </c>
      <c r="Q39">
        <v>1886</v>
      </c>
      <c r="R39" s="14">
        <v>6.45</v>
      </c>
      <c r="S39" s="11">
        <v>39585.949999999997</v>
      </c>
      <c r="T39" s="15">
        <v>367.6</v>
      </c>
      <c r="U39" t="s">
        <v>39</v>
      </c>
    </row>
    <row r="40" spans="1:21" x14ac:dyDescent="0.3">
      <c r="A40" s="10">
        <v>45726</v>
      </c>
      <c r="B40" t="s">
        <v>26</v>
      </c>
      <c r="C40" t="s">
        <v>27</v>
      </c>
      <c r="D40" s="11">
        <v>10811.03</v>
      </c>
      <c r="E40" s="11">
        <v>8758.5400000000009</v>
      </c>
      <c r="F40" s="12">
        <v>886103</v>
      </c>
      <c r="G40" s="12">
        <v>27646</v>
      </c>
      <c r="H40" s="13">
        <f t="shared" si="0"/>
        <v>3.1199533237106745E-2</v>
      </c>
      <c r="I40">
        <v>0.32</v>
      </c>
      <c r="J40">
        <v>9.8800000000000008</v>
      </c>
      <c r="K40">
        <f t="shared" si="1"/>
        <v>2.9978158460199986</v>
      </c>
      <c r="L40">
        <f t="shared" si="2"/>
        <v>1.9978158460199986</v>
      </c>
      <c r="M40">
        <f t="shared" si="3"/>
        <v>0</v>
      </c>
      <c r="N40" s="11">
        <f t="shared" si="4"/>
        <v>7.8061853832442072</v>
      </c>
      <c r="O40" s="11">
        <f t="shared" si="5"/>
        <v>78.905765765765778</v>
      </c>
      <c r="P40" s="12">
        <v>1122</v>
      </c>
      <c r="Q40">
        <v>111</v>
      </c>
      <c r="R40" s="14">
        <v>0.4</v>
      </c>
      <c r="S40" s="11">
        <v>26256.49</v>
      </c>
      <c r="T40" s="15">
        <v>199.78</v>
      </c>
      <c r="U40" t="s">
        <v>39</v>
      </c>
    </row>
    <row r="41" spans="1:21" x14ac:dyDescent="0.3">
      <c r="A41" s="10">
        <v>45726</v>
      </c>
      <c r="B41" t="s">
        <v>28</v>
      </c>
      <c r="C41" t="s">
        <v>31</v>
      </c>
      <c r="D41" s="11">
        <v>7504.27</v>
      </c>
      <c r="E41" s="11">
        <v>6379.22</v>
      </c>
      <c r="F41" s="12">
        <v>660361</v>
      </c>
      <c r="G41" s="12">
        <v>27758</v>
      </c>
      <c r="H41" s="13">
        <f t="shared" si="0"/>
        <v>4.2034584113840763E-2</v>
      </c>
      <c r="I41">
        <v>0.23</v>
      </c>
      <c r="J41">
        <v>9.66</v>
      </c>
      <c r="K41">
        <f t="shared" si="1"/>
        <v>2.1833202178322741</v>
      </c>
      <c r="L41">
        <f t="shared" si="2"/>
        <v>1.1833202178322739</v>
      </c>
      <c r="M41">
        <f t="shared" si="3"/>
        <v>0</v>
      </c>
      <c r="N41" s="11">
        <f t="shared" si="4"/>
        <v>1.8790044182621504</v>
      </c>
      <c r="O41" s="11">
        <f t="shared" si="5"/>
        <v>11.598581818181819</v>
      </c>
      <c r="P41" s="12">
        <v>3395</v>
      </c>
      <c r="Q41">
        <v>550</v>
      </c>
      <c r="R41" s="14">
        <v>1.98</v>
      </c>
      <c r="S41" s="11">
        <v>13927.88</v>
      </c>
      <c r="T41" s="15">
        <v>118.33</v>
      </c>
      <c r="U41" t="s">
        <v>39</v>
      </c>
    </row>
    <row r="42" spans="1:21" x14ac:dyDescent="0.3">
      <c r="A42" s="10">
        <v>45733</v>
      </c>
      <c r="B42" t="s">
        <v>21</v>
      </c>
      <c r="C42" t="s">
        <v>32</v>
      </c>
      <c r="D42" s="11">
        <v>5807.19</v>
      </c>
      <c r="E42" s="11">
        <v>4938.01</v>
      </c>
      <c r="F42" s="12">
        <v>576114</v>
      </c>
      <c r="G42" s="12">
        <v>38149</v>
      </c>
      <c r="H42" s="13">
        <f t="shared" si="0"/>
        <v>6.6217797172087464E-2</v>
      </c>
      <c r="I42">
        <v>0.13</v>
      </c>
      <c r="J42">
        <v>8.57</v>
      </c>
      <c r="K42">
        <f t="shared" si="1"/>
        <v>2.8004621294813088</v>
      </c>
      <c r="L42">
        <f t="shared" si="2"/>
        <v>1.800462129481309</v>
      </c>
      <c r="M42">
        <f t="shared" si="3"/>
        <v>0</v>
      </c>
      <c r="N42" s="11">
        <f t="shared" si="4"/>
        <v>1.5193876923076923</v>
      </c>
      <c r="O42" s="11">
        <f t="shared" si="5"/>
        <v>3.7551406844106467</v>
      </c>
      <c r="P42" s="12">
        <v>3250</v>
      </c>
      <c r="Q42">
        <v>1315</v>
      </c>
      <c r="R42" s="14">
        <v>3.45</v>
      </c>
      <c r="S42" s="11">
        <v>13828.71</v>
      </c>
      <c r="T42" s="15">
        <v>180.05</v>
      </c>
      <c r="U42" t="s">
        <v>39</v>
      </c>
    </row>
    <row r="43" spans="1:21" x14ac:dyDescent="0.3">
      <c r="A43" s="10">
        <v>45733</v>
      </c>
      <c r="B43" t="s">
        <v>24</v>
      </c>
      <c r="C43" t="s">
        <v>30</v>
      </c>
      <c r="D43" s="11">
        <v>7080.87</v>
      </c>
      <c r="E43" s="11">
        <v>5668.88</v>
      </c>
      <c r="F43" s="12">
        <v>835291</v>
      </c>
      <c r="G43" s="12">
        <v>44434</v>
      </c>
      <c r="H43" s="13">
        <f t="shared" si="0"/>
        <v>5.3195832350641875E-2</v>
      </c>
      <c r="I43">
        <v>0.13</v>
      </c>
      <c r="J43">
        <v>6.79</v>
      </c>
      <c r="K43">
        <f t="shared" si="1"/>
        <v>4.7507708753757356</v>
      </c>
      <c r="L43">
        <f t="shared" si="2"/>
        <v>3.7507708753757352</v>
      </c>
      <c r="M43">
        <f t="shared" si="3"/>
        <v>0</v>
      </c>
      <c r="N43" s="11">
        <f t="shared" si="4"/>
        <v>1.6013785310734463</v>
      </c>
      <c r="O43" s="11">
        <f t="shared" si="5"/>
        <v>18.111437699680511</v>
      </c>
      <c r="P43" s="12">
        <v>3540</v>
      </c>
      <c r="Q43">
        <v>313</v>
      </c>
      <c r="R43" s="14">
        <v>0.7</v>
      </c>
      <c r="S43" s="11">
        <v>26931.55</v>
      </c>
      <c r="T43" s="15">
        <v>375.08</v>
      </c>
      <c r="U43" t="s">
        <v>39</v>
      </c>
    </row>
    <row r="44" spans="1:21" x14ac:dyDescent="0.3">
      <c r="A44" s="10">
        <v>45733</v>
      </c>
      <c r="B44" t="s">
        <v>26</v>
      </c>
      <c r="C44" t="s">
        <v>34</v>
      </c>
      <c r="D44" s="11">
        <v>3931.63</v>
      </c>
      <c r="E44" s="11">
        <v>3528.6</v>
      </c>
      <c r="F44" s="12">
        <v>371083</v>
      </c>
      <c r="G44" s="12">
        <v>26857</v>
      </c>
      <c r="H44" s="13">
        <f t="shared" si="0"/>
        <v>7.2374643947580461E-2</v>
      </c>
      <c r="I44">
        <v>0.13</v>
      </c>
      <c r="J44">
        <v>9.51</v>
      </c>
      <c r="K44">
        <f t="shared" si="1"/>
        <v>3.128484384741824</v>
      </c>
      <c r="L44">
        <f t="shared" si="2"/>
        <v>2.128484384741824</v>
      </c>
      <c r="M44">
        <f t="shared" si="3"/>
        <v>0</v>
      </c>
      <c r="N44" s="11">
        <f t="shared" si="4"/>
        <v>1.3996826656088854</v>
      </c>
      <c r="O44" s="11">
        <f t="shared" si="5"/>
        <v>1.4907477820025348</v>
      </c>
      <c r="P44" s="12">
        <v>2521</v>
      </c>
      <c r="Q44">
        <v>2367</v>
      </c>
      <c r="R44" s="14">
        <v>8.81</v>
      </c>
      <c r="S44" s="11">
        <v>11039.17</v>
      </c>
      <c r="T44" s="15">
        <v>212.85</v>
      </c>
      <c r="U44" t="s">
        <v>39</v>
      </c>
    </row>
    <row r="45" spans="1:21" x14ac:dyDescent="0.3">
      <c r="A45" s="10">
        <v>45733</v>
      </c>
      <c r="B45" t="s">
        <v>28</v>
      </c>
      <c r="C45" t="s">
        <v>31</v>
      </c>
      <c r="D45" s="11">
        <v>11969.47</v>
      </c>
      <c r="E45" s="11">
        <v>9540.33</v>
      </c>
      <c r="F45" s="12">
        <v>1045624</v>
      </c>
      <c r="G45" s="12">
        <v>42669</v>
      </c>
      <c r="H45" s="13">
        <f t="shared" si="0"/>
        <v>4.0807211770196555E-2</v>
      </c>
      <c r="I45">
        <v>0.22</v>
      </c>
      <c r="J45">
        <v>9.1199999999999992</v>
      </c>
      <c r="K45">
        <f t="shared" si="1"/>
        <v>2.8281485022006576</v>
      </c>
      <c r="L45">
        <f t="shared" si="2"/>
        <v>1.8281485022006576</v>
      </c>
      <c r="M45">
        <f t="shared" si="3"/>
        <v>0</v>
      </c>
      <c r="N45" s="11">
        <f t="shared" si="4"/>
        <v>3.1748186356073211</v>
      </c>
      <c r="O45" s="11">
        <f t="shared" si="5"/>
        <v>3.7545572609208975</v>
      </c>
      <c r="P45" s="12">
        <v>3005</v>
      </c>
      <c r="Q45">
        <v>2541</v>
      </c>
      <c r="R45" s="14">
        <v>5.96</v>
      </c>
      <c r="S45" s="11">
        <v>26981.47</v>
      </c>
      <c r="T45" s="15">
        <v>182.81</v>
      </c>
      <c r="U45" t="s">
        <v>39</v>
      </c>
    </row>
    <row r="46" spans="1:21" x14ac:dyDescent="0.3">
      <c r="A46" s="10">
        <v>45740</v>
      </c>
      <c r="B46" t="s">
        <v>21</v>
      </c>
      <c r="C46" t="s">
        <v>32</v>
      </c>
      <c r="D46" s="11">
        <v>3868.59</v>
      </c>
      <c r="E46" s="11">
        <v>3379.24</v>
      </c>
      <c r="F46" s="12">
        <v>691321</v>
      </c>
      <c r="G46" s="12">
        <v>59224</v>
      </c>
      <c r="H46" s="13">
        <f t="shared" si="0"/>
        <v>8.5667873534870195E-2</v>
      </c>
      <c r="I46">
        <v>0.06</v>
      </c>
      <c r="J46">
        <v>4.8899999999999997</v>
      </c>
      <c r="K46">
        <f t="shared" si="1"/>
        <v>3.4964932943502092</v>
      </c>
      <c r="L46">
        <f t="shared" si="2"/>
        <v>2.4964932943502092</v>
      </c>
      <c r="M46">
        <f t="shared" si="3"/>
        <v>0</v>
      </c>
      <c r="N46" s="11">
        <f t="shared" si="4"/>
        <v>2.0911138613861384</v>
      </c>
      <c r="O46" s="11">
        <f t="shared" si="5"/>
        <v>5.1988307692307689</v>
      </c>
      <c r="P46" s="12">
        <v>1616</v>
      </c>
      <c r="Q46">
        <v>650</v>
      </c>
      <c r="R46" s="14">
        <v>1.1000000000000001</v>
      </c>
      <c r="S46" s="11">
        <v>11815.49</v>
      </c>
      <c r="T46" s="15">
        <v>249.65</v>
      </c>
      <c r="U46" t="s">
        <v>39</v>
      </c>
    </row>
    <row r="47" spans="1:21" x14ac:dyDescent="0.3">
      <c r="A47" s="10">
        <v>45740</v>
      </c>
      <c r="B47" t="s">
        <v>24</v>
      </c>
      <c r="C47" t="s">
        <v>33</v>
      </c>
      <c r="D47" s="11">
        <v>5872.86</v>
      </c>
      <c r="E47" s="11">
        <v>5202.3900000000003</v>
      </c>
      <c r="F47" s="12">
        <v>182916</v>
      </c>
      <c r="G47" s="12">
        <v>58443</v>
      </c>
      <c r="H47" s="13">
        <f t="shared" si="0"/>
        <v>0.31950731483303813</v>
      </c>
      <c r="I47">
        <v>0.09</v>
      </c>
      <c r="J47">
        <v>28.44</v>
      </c>
      <c r="K47">
        <f t="shared" si="1"/>
        <v>4.4851251059609138</v>
      </c>
      <c r="L47">
        <f t="shared" si="2"/>
        <v>3.4851251059609138</v>
      </c>
      <c r="M47">
        <f t="shared" si="3"/>
        <v>0</v>
      </c>
      <c r="N47" s="11">
        <f t="shared" si="4"/>
        <v>2.9984956772334295</v>
      </c>
      <c r="O47" s="11">
        <f t="shared" si="5"/>
        <v>13.17060759493671</v>
      </c>
      <c r="P47" s="12">
        <v>1735</v>
      </c>
      <c r="Q47">
        <v>395</v>
      </c>
      <c r="R47" s="14">
        <v>0.68</v>
      </c>
      <c r="S47" s="11">
        <v>23333.37</v>
      </c>
      <c r="T47" s="15">
        <v>348.51</v>
      </c>
      <c r="U47" t="s">
        <v>39</v>
      </c>
    </row>
    <row r="48" spans="1:21" x14ac:dyDescent="0.3">
      <c r="A48" s="10">
        <v>45740</v>
      </c>
      <c r="B48" t="s">
        <v>26</v>
      </c>
      <c r="C48" t="s">
        <v>34</v>
      </c>
      <c r="D48" s="11">
        <v>4944</v>
      </c>
      <c r="E48" s="11">
        <v>4106.45</v>
      </c>
      <c r="F48" s="12">
        <v>810048</v>
      </c>
      <c r="G48" s="12">
        <v>22582</v>
      </c>
      <c r="H48" s="13">
        <f t="shared" si="0"/>
        <v>2.7877360353954335E-2</v>
      </c>
      <c r="I48">
        <v>0.18</v>
      </c>
      <c r="J48">
        <v>5.07</v>
      </c>
      <c r="K48">
        <f t="shared" si="1"/>
        <v>4.1246185878313391</v>
      </c>
      <c r="L48">
        <f t="shared" si="2"/>
        <v>3.1246185878313386</v>
      </c>
      <c r="M48">
        <f t="shared" si="3"/>
        <v>0</v>
      </c>
      <c r="N48" s="11">
        <f t="shared" si="4"/>
        <v>1.6926834295136026</v>
      </c>
      <c r="O48" s="11">
        <f t="shared" si="5"/>
        <v>1.9028962001853567</v>
      </c>
      <c r="P48" s="12">
        <v>2426</v>
      </c>
      <c r="Q48">
        <v>2158</v>
      </c>
      <c r="R48" s="14">
        <v>9.56</v>
      </c>
      <c r="S48" s="11">
        <v>16937.54</v>
      </c>
      <c r="T48" s="15">
        <v>312.45999999999998</v>
      </c>
      <c r="U48" t="s">
        <v>39</v>
      </c>
    </row>
    <row r="49" spans="1:21" x14ac:dyDescent="0.3">
      <c r="A49" s="10">
        <v>45740</v>
      </c>
      <c r="B49" t="s">
        <v>28</v>
      </c>
      <c r="C49" t="s">
        <v>35</v>
      </c>
      <c r="D49" s="11">
        <v>5634.42</v>
      </c>
      <c r="E49" s="11">
        <v>4389.3599999999997</v>
      </c>
      <c r="F49" s="12">
        <v>620788</v>
      </c>
      <c r="G49" s="12">
        <v>31529</v>
      </c>
      <c r="H49" s="13">
        <f t="shared" si="0"/>
        <v>5.0788675038821625E-2</v>
      </c>
      <c r="I49">
        <v>0.14000000000000001</v>
      </c>
      <c r="J49">
        <v>7.07</v>
      </c>
      <c r="K49">
        <f t="shared" si="1"/>
        <v>4.2208522426959743</v>
      </c>
      <c r="L49">
        <f t="shared" si="2"/>
        <v>3.2208522426959743</v>
      </c>
      <c r="M49">
        <f t="shared" si="3"/>
        <v>0</v>
      </c>
      <c r="N49" s="11">
        <f t="shared" si="4"/>
        <v>1.675328244274809</v>
      </c>
      <c r="O49" s="11">
        <f t="shared" si="5"/>
        <v>2.1041994247363371</v>
      </c>
      <c r="P49" s="12">
        <v>2620</v>
      </c>
      <c r="Q49">
        <v>2086</v>
      </c>
      <c r="R49" s="14">
        <v>6.62</v>
      </c>
      <c r="S49" s="11">
        <v>18526.84</v>
      </c>
      <c r="T49" s="15">
        <v>322.08999999999997</v>
      </c>
      <c r="U49" t="s">
        <v>39</v>
      </c>
    </row>
    <row r="50" spans="1:21" x14ac:dyDescent="0.3">
      <c r="A50" s="10">
        <v>45747</v>
      </c>
      <c r="B50" t="s">
        <v>21</v>
      </c>
      <c r="C50" t="s">
        <v>37</v>
      </c>
      <c r="D50" s="11">
        <v>3943.17</v>
      </c>
      <c r="E50" s="11">
        <v>3374.16</v>
      </c>
      <c r="F50" s="12">
        <v>341802</v>
      </c>
      <c r="G50" s="12">
        <v>23828</v>
      </c>
      <c r="H50" s="13">
        <f t="shared" si="0"/>
        <v>6.9712874705238709E-2</v>
      </c>
      <c r="I50">
        <v>0.14000000000000001</v>
      </c>
      <c r="J50">
        <v>9.8699999999999992</v>
      </c>
      <c r="K50">
        <f t="shared" si="1"/>
        <v>2.0564466415344858</v>
      </c>
      <c r="L50">
        <f t="shared" si="2"/>
        <v>1.0564466415344855</v>
      </c>
      <c r="M50">
        <f t="shared" si="3"/>
        <v>0</v>
      </c>
      <c r="N50" s="11">
        <f t="shared" si="4"/>
        <v>2.0387673716012085</v>
      </c>
      <c r="O50" s="11">
        <f t="shared" si="5"/>
        <v>6.1460109289617479</v>
      </c>
      <c r="P50" s="12">
        <v>1655</v>
      </c>
      <c r="Q50">
        <v>549</v>
      </c>
      <c r="R50" s="14">
        <v>2.2999999999999998</v>
      </c>
      <c r="S50" s="11">
        <v>6938.78</v>
      </c>
      <c r="T50" s="15">
        <v>105.64</v>
      </c>
      <c r="U50" t="s">
        <v>39</v>
      </c>
    </row>
    <row r="51" spans="1:21" x14ac:dyDescent="0.3">
      <c r="A51" s="10">
        <v>45747</v>
      </c>
      <c r="B51" t="s">
        <v>24</v>
      </c>
      <c r="C51" t="s">
        <v>30</v>
      </c>
      <c r="D51" s="11">
        <v>6942.75</v>
      </c>
      <c r="E51" s="11">
        <v>6928.1</v>
      </c>
      <c r="F51" s="12">
        <v>558644</v>
      </c>
      <c r="G51" s="12">
        <v>5954</v>
      </c>
      <c r="H51" s="13">
        <f t="shared" si="0"/>
        <v>1.0657950322566787E-2</v>
      </c>
      <c r="I51">
        <v>1.1599999999999999</v>
      </c>
      <c r="J51">
        <v>12.4</v>
      </c>
      <c r="K51">
        <f t="shared" si="1"/>
        <v>4.2365395996016222</v>
      </c>
      <c r="L51">
        <f t="shared" si="2"/>
        <v>3.2365395996016222</v>
      </c>
      <c r="M51">
        <f t="shared" si="3"/>
        <v>0</v>
      </c>
      <c r="N51" s="11">
        <f t="shared" si="4"/>
        <v>2.3501017639077344</v>
      </c>
      <c r="O51" s="11">
        <f t="shared" si="5"/>
        <v>3.2268747088961343</v>
      </c>
      <c r="P51" s="12">
        <v>2948</v>
      </c>
      <c r="Q51">
        <v>2147</v>
      </c>
      <c r="R51" s="14">
        <v>36.06</v>
      </c>
      <c r="S51" s="11">
        <v>29351.17</v>
      </c>
      <c r="T51" s="15">
        <v>323.64999999999998</v>
      </c>
      <c r="U51" t="s">
        <v>39</v>
      </c>
    </row>
    <row r="52" spans="1:21" x14ac:dyDescent="0.3">
      <c r="A52" s="10">
        <v>45747</v>
      </c>
      <c r="B52" t="s">
        <v>26</v>
      </c>
      <c r="C52" t="s">
        <v>34</v>
      </c>
      <c r="D52" s="11">
        <v>5297.39</v>
      </c>
      <c r="E52" s="11">
        <v>5071.68</v>
      </c>
      <c r="F52" s="12">
        <v>960277</v>
      </c>
      <c r="G52" s="12">
        <v>55349</v>
      </c>
      <c r="H52" s="13">
        <f t="shared" si="0"/>
        <v>5.7638577202203112E-2</v>
      </c>
      <c r="I52">
        <v>0.09</v>
      </c>
      <c r="J52">
        <v>5.28</v>
      </c>
      <c r="K52">
        <f t="shared" si="1"/>
        <v>4.5523357151870778</v>
      </c>
      <c r="L52">
        <f t="shared" si="2"/>
        <v>3.5523357151870782</v>
      </c>
      <c r="M52">
        <f t="shared" si="3"/>
        <v>0</v>
      </c>
      <c r="N52" s="11">
        <f t="shared" si="4"/>
        <v>2.6962679425837321</v>
      </c>
      <c r="O52" s="11">
        <f t="shared" si="5"/>
        <v>9.9056250000000006</v>
      </c>
      <c r="P52" s="12">
        <v>1881</v>
      </c>
      <c r="Q52">
        <v>512</v>
      </c>
      <c r="R52" s="14">
        <v>0.93</v>
      </c>
      <c r="S52" s="11">
        <v>23087.99</v>
      </c>
      <c r="T52" s="15">
        <v>355.23</v>
      </c>
      <c r="U52" t="s">
        <v>39</v>
      </c>
    </row>
    <row r="53" spans="1:21" x14ac:dyDescent="0.3">
      <c r="A53" s="10">
        <v>45747</v>
      </c>
      <c r="B53" t="s">
        <v>28</v>
      </c>
      <c r="C53" t="s">
        <v>35</v>
      </c>
      <c r="D53" s="11">
        <v>9195.99</v>
      </c>
      <c r="E53" s="11">
        <v>9029.86</v>
      </c>
      <c r="F53" s="12">
        <v>1428991</v>
      </c>
      <c r="G53" s="12">
        <v>42699</v>
      </c>
      <c r="H53" s="13">
        <f t="shared" si="0"/>
        <v>2.9880524090074745E-2</v>
      </c>
      <c r="I53">
        <v>0.21</v>
      </c>
      <c r="J53">
        <v>6.32</v>
      </c>
      <c r="K53">
        <f t="shared" si="1"/>
        <v>2.6565029801126481</v>
      </c>
      <c r="L53">
        <f t="shared" si="2"/>
        <v>1.6565029801126481</v>
      </c>
      <c r="M53">
        <f t="shared" si="3"/>
        <v>0</v>
      </c>
      <c r="N53" s="11">
        <f t="shared" si="4"/>
        <v>2.9072311654861562</v>
      </c>
      <c r="O53" s="11">
        <f t="shared" si="5"/>
        <v>7.5374457429048416</v>
      </c>
      <c r="P53" s="12">
        <v>3106</v>
      </c>
      <c r="Q53">
        <v>1198</v>
      </c>
      <c r="R53" s="14">
        <v>2.81</v>
      </c>
      <c r="S53" s="11">
        <v>23987.85</v>
      </c>
      <c r="T53" s="15">
        <v>165.65</v>
      </c>
      <c r="U53" t="s">
        <v>39</v>
      </c>
    </row>
    <row r="54" spans="1:21" x14ac:dyDescent="0.3">
      <c r="A54" s="10">
        <v>45754</v>
      </c>
      <c r="B54" t="s">
        <v>21</v>
      </c>
      <c r="C54" t="s">
        <v>32</v>
      </c>
      <c r="D54" s="11">
        <v>7579.31</v>
      </c>
      <c r="E54" s="11">
        <v>6081.31</v>
      </c>
      <c r="F54" s="12">
        <v>1153479</v>
      </c>
      <c r="G54" s="12">
        <v>34185</v>
      </c>
      <c r="H54" s="13">
        <f t="shared" si="0"/>
        <v>2.9636430312125317E-2</v>
      </c>
      <c r="I54">
        <v>0.18</v>
      </c>
      <c r="J54">
        <v>5.27</v>
      </c>
      <c r="K54">
        <f t="shared" si="1"/>
        <v>3.7478947792498656</v>
      </c>
      <c r="L54">
        <f t="shared" si="2"/>
        <v>2.7478947792498651</v>
      </c>
      <c r="M54">
        <f t="shared" si="3"/>
        <v>0</v>
      </c>
      <c r="N54" s="11">
        <f t="shared" si="4"/>
        <v>1.655679281241492</v>
      </c>
      <c r="O54" s="11">
        <f t="shared" si="5"/>
        <v>4.9481773799837265</v>
      </c>
      <c r="P54" s="12">
        <v>3673</v>
      </c>
      <c r="Q54">
        <v>1229</v>
      </c>
      <c r="R54" s="14">
        <v>3.6</v>
      </c>
      <c r="S54" s="11">
        <v>22792.11</v>
      </c>
      <c r="T54" s="15">
        <v>274.79000000000002</v>
      </c>
      <c r="U54" t="s">
        <v>40</v>
      </c>
    </row>
    <row r="55" spans="1:21" x14ac:dyDescent="0.3">
      <c r="A55" s="10">
        <v>45754</v>
      </c>
      <c r="B55" t="s">
        <v>24</v>
      </c>
      <c r="C55" t="s">
        <v>33</v>
      </c>
      <c r="D55" s="11">
        <v>7907.39</v>
      </c>
      <c r="E55" s="11">
        <v>7582.86</v>
      </c>
      <c r="F55" s="12">
        <v>453010</v>
      </c>
      <c r="G55" s="12">
        <v>31932</v>
      </c>
      <c r="H55" s="13">
        <f t="shared" si="0"/>
        <v>7.0488510187413075E-2</v>
      </c>
      <c r="I55">
        <v>0.24</v>
      </c>
      <c r="J55">
        <v>16.739999999999998</v>
      </c>
      <c r="K55">
        <f t="shared" si="1"/>
        <v>2.9519824973690669</v>
      </c>
      <c r="L55">
        <f t="shared" si="2"/>
        <v>1.9519824973690667</v>
      </c>
      <c r="M55">
        <f t="shared" si="3"/>
        <v>0</v>
      </c>
      <c r="N55" s="11">
        <f t="shared" si="4"/>
        <v>5.0151190476190477</v>
      </c>
      <c r="O55" s="11">
        <f t="shared" si="5"/>
        <v>10.926311239193083</v>
      </c>
      <c r="P55" s="12">
        <v>1512</v>
      </c>
      <c r="Q55">
        <v>694</v>
      </c>
      <c r="R55" s="14">
        <v>2.17</v>
      </c>
      <c r="S55" s="11">
        <v>22384.47</v>
      </c>
      <c r="T55" s="15">
        <v>195.2</v>
      </c>
      <c r="U55" t="s">
        <v>40</v>
      </c>
    </row>
    <row r="56" spans="1:21" x14ac:dyDescent="0.3">
      <c r="A56" s="10">
        <v>45754</v>
      </c>
      <c r="B56" t="s">
        <v>26</v>
      </c>
      <c r="C56" t="s">
        <v>34</v>
      </c>
      <c r="D56" s="11">
        <v>11955.85</v>
      </c>
      <c r="E56" s="11">
        <v>11135.09</v>
      </c>
      <c r="F56" s="12">
        <v>558992</v>
      </c>
      <c r="G56" s="12">
        <v>35903</v>
      </c>
      <c r="H56" s="13">
        <f t="shared" si="0"/>
        <v>6.4228110599078347E-2</v>
      </c>
      <c r="I56">
        <v>0.31</v>
      </c>
      <c r="J56">
        <v>19.920000000000002</v>
      </c>
      <c r="K56">
        <f t="shared" si="1"/>
        <v>3.8153845186702577</v>
      </c>
      <c r="L56">
        <f t="shared" si="2"/>
        <v>2.8153845186702577</v>
      </c>
      <c r="M56">
        <f t="shared" si="3"/>
        <v>0</v>
      </c>
      <c r="N56" s="11">
        <f t="shared" si="4"/>
        <v>11.745875527426161</v>
      </c>
      <c r="O56" s="11">
        <f t="shared" si="5"/>
        <v>17.026131498470949</v>
      </c>
      <c r="P56" s="12">
        <v>948</v>
      </c>
      <c r="Q56">
        <v>654</v>
      </c>
      <c r="R56" s="14">
        <v>1.82</v>
      </c>
      <c r="S56" s="11">
        <v>42484.65</v>
      </c>
      <c r="T56" s="15">
        <v>281.54000000000002</v>
      </c>
      <c r="U56" t="s">
        <v>40</v>
      </c>
    </row>
    <row r="57" spans="1:21" x14ac:dyDescent="0.3">
      <c r="A57" s="10">
        <v>45754</v>
      </c>
      <c r="B57" t="s">
        <v>28</v>
      </c>
      <c r="C57" t="s">
        <v>29</v>
      </c>
      <c r="D57" s="11">
        <v>7982</v>
      </c>
      <c r="E57" s="11">
        <v>6200.04</v>
      </c>
      <c r="F57" s="12">
        <v>668601</v>
      </c>
      <c r="G57" s="12">
        <v>26308</v>
      </c>
      <c r="H57" s="13">
        <f t="shared" si="0"/>
        <v>3.9347832264684017E-2</v>
      </c>
      <c r="I57">
        <v>0.24</v>
      </c>
      <c r="J57">
        <v>9.27</v>
      </c>
      <c r="K57">
        <f t="shared" si="1"/>
        <v>4.1854729969484064</v>
      </c>
      <c r="L57">
        <f t="shared" si="2"/>
        <v>3.1854729969484064</v>
      </c>
      <c r="M57">
        <f t="shared" si="3"/>
        <v>0</v>
      </c>
      <c r="N57" s="11">
        <f t="shared" si="4"/>
        <v>2.3520637329286798</v>
      </c>
      <c r="O57" s="11">
        <f t="shared" si="5"/>
        <v>8.1902774108322323</v>
      </c>
      <c r="P57" s="12">
        <v>2636</v>
      </c>
      <c r="Q57">
        <v>757</v>
      </c>
      <c r="R57" s="14">
        <v>2.88</v>
      </c>
      <c r="S57" s="11">
        <v>25950.1</v>
      </c>
      <c r="T57" s="15">
        <v>318.55</v>
      </c>
      <c r="U57" t="s">
        <v>40</v>
      </c>
    </row>
    <row r="58" spans="1:21" x14ac:dyDescent="0.3">
      <c r="A58" s="10">
        <v>45761</v>
      </c>
      <c r="B58" t="s">
        <v>21</v>
      </c>
      <c r="C58" t="s">
        <v>37</v>
      </c>
      <c r="D58" s="11">
        <v>11488.72</v>
      </c>
      <c r="E58" s="11">
        <v>10200.6</v>
      </c>
      <c r="F58" s="12">
        <v>206826</v>
      </c>
      <c r="G58" s="12">
        <v>58237</v>
      </c>
      <c r="H58" s="13">
        <f t="shared" si="0"/>
        <v>0.28157485035730517</v>
      </c>
      <c r="I58">
        <v>0.18</v>
      </c>
      <c r="J58">
        <v>49.32</v>
      </c>
      <c r="K58">
        <f t="shared" si="1"/>
        <v>4.2545693390584871</v>
      </c>
      <c r="L58">
        <f t="shared" si="2"/>
        <v>3.2545693390584871</v>
      </c>
      <c r="M58">
        <f t="shared" si="3"/>
        <v>0</v>
      </c>
      <c r="N58" s="11">
        <f t="shared" si="4"/>
        <v>8.1214968152866245</v>
      </c>
      <c r="O58" s="11">
        <f t="shared" si="5"/>
        <v>36.561290322580646</v>
      </c>
      <c r="P58" s="12">
        <v>1256</v>
      </c>
      <c r="Q58">
        <v>279</v>
      </c>
      <c r="R58" s="14">
        <v>0.48</v>
      </c>
      <c r="S58" s="11">
        <v>43399.16</v>
      </c>
      <c r="T58" s="15">
        <v>325.45999999999998</v>
      </c>
      <c r="U58" t="s">
        <v>40</v>
      </c>
    </row>
    <row r="59" spans="1:21" x14ac:dyDescent="0.3">
      <c r="A59" s="10">
        <v>45761</v>
      </c>
      <c r="B59" t="s">
        <v>24</v>
      </c>
      <c r="C59" t="s">
        <v>25</v>
      </c>
      <c r="D59" s="11">
        <v>7845.02</v>
      </c>
      <c r="E59" s="11">
        <v>6528.18</v>
      </c>
      <c r="F59" s="12">
        <v>906702</v>
      </c>
      <c r="G59" s="12">
        <v>9247</v>
      </c>
      <c r="H59" s="13">
        <f t="shared" si="0"/>
        <v>1.0198499617294327E-2</v>
      </c>
      <c r="I59">
        <v>0.71</v>
      </c>
      <c r="J59">
        <v>7.2</v>
      </c>
      <c r="K59">
        <f t="shared" si="1"/>
        <v>3.9405868097999748</v>
      </c>
      <c r="L59">
        <f t="shared" si="2"/>
        <v>2.9405868097999748</v>
      </c>
      <c r="M59">
        <f t="shared" si="3"/>
        <v>0</v>
      </c>
      <c r="N59" s="11">
        <f t="shared" si="4"/>
        <v>5.6521038961038963</v>
      </c>
      <c r="O59" s="11">
        <f t="shared" si="5"/>
        <v>103.62190476190477</v>
      </c>
      <c r="P59" s="12">
        <v>1155</v>
      </c>
      <c r="Q59">
        <v>63</v>
      </c>
      <c r="R59" s="14">
        <v>0.68</v>
      </c>
      <c r="S59" s="11">
        <v>25724.86</v>
      </c>
      <c r="T59" s="15">
        <v>294.06</v>
      </c>
      <c r="U59" t="s">
        <v>40</v>
      </c>
    </row>
    <row r="60" spans="1:21" x14ac:dyDescent="0.3">
      <c r="A60" s="10">
        <v>45761</v>
      </c>
      <c r="B60" t="s">
        <v>26</v>
      </c>
      <c r="C60" t="s">
        <v>27</v>
      </c>
      <c r="D60" s="11">
        <v>6497.7</v>
      </c>
      <c r="E60" s="11">
        <v>5464.74</v>
      </c>
      <c r="F60" s="12">
        <v>968102</v>
      </c>
      <c r="G60" s="12">
        <v>14608</v>
      </c>
      <c r="H60" s="13">
        <f t="shared" si="0"/>
        <v>1.5089319100673276E-2</v>
      </c>
      <c r="I60">
        <v>0.37</v>
      </c>
      <c r="J60">
        <v>5.64</v>
      </c>
      <c r="K60">
        <f t="shared" si="1"/>
        <v>1.292109048188935</v>
      </c>
      <c r="L60">
        <f t="shared" si="2"/>
        <v>0.29210904818893491</v>
      </c>
      <c r="M60">
        <f t="shared" si="3"/>
        <v>0</v>
      </c>
      <c r="N60" s="11">
        <f t="shared" si="4"/>
        <v>2.1876461168935148</v>
      </c>
      <c r="O60" s="11">
        <f t="shared" si="5"/>
        <v>13.86989847715736</v>
      </c>
      <c r="P60" s="12">
        <v>2498</v>
      </c>
      <c r="Q60">
        <v>394</v>
      </c>
      <c r="R60" s="14">
        <v>2.7</v>
      </c>
      <c r="S60" s="11">
        <v>7061.04</v>
      </c>
      <c r="T60" s="15">
        <v>29.21</v>
      </c>
      <c r="U60" t="s">
        <v>40</v>
      </c>
    </row>
    <row r="61" spans="1:21" x14ac:dyDescent="0.3">
      <c r="A61" s="10">
        <v>45761</v>
      </c>
      <c r="B61" t="s">
        <v>28</v>
      </c>
      <c r="C61" t="s">
        <v>31</v>
      </c>
      <c r="D61" s="11">
        <v>3665.05</v>
      </c>
      <c r="E61" s="11">
        <v>3188.18</v>
      </c>
      <c r="F61" s="12">
        <v>1408610</v>
      </c>
      <c r="G61" s="12">
        <v>38529</v>
      </c>
      <c r="H61" s="13">
        <f t="shared" si="0"/>
        <v>2.7352496432653466E-2</v>
      </c>
      <c r="I61">
        <v>0.08</v>
      </c>
      <c r="J61">
        <v>2.2599999999999998</v>
      </c>
      <c r="K61">
        <f t="shared" si="1"/>
        <v>4.8205559284607515</v>
      </c>
      <c r="L61">
        <f t="shared" si="2"/>
        <v>3.820555928460752</v>
      </c>
      <c r="M61">
        <f t="shared" si="3"/>
        <v>0</v>
      </c>
      <c r="N61" s="11">
        <f t="shared" si="4"/>
        <v>4.2115984147952439</v>
      </c>
      <c r="O61" s="11">
        <f t="shared" si="5"/>
        <v>13.566723404255319</v>
      </c>
      <c r="P61" s="12">
        <v>757</v>
      </c>
      <c r="Q61">
        <v>235</v>
      </c>
      <c r="R61" s="14">
        <v>0.61</v>
      </c>
      <c r="S61" s="11">
        <v>15368.8</v>
      </c>
      <c r="T61" s="15">
        <v>382.06</v>
      </c>
      <c r="U61" t="s">
        <v>40</v>
      </c>
    </row>
    <row r="62" spans="1:21" x14ac:dyDescent="0.3">
      <c r="A62" s="10">
        <v>45768</v>
      </c>
      <c r="B62" t="s">
        <v>21</v>
      </c>
      <c r="C62" t="s">
        <v>37</v>
      </c>
      <c r="D62" s="11">
        <v>11992.14</v>
      </c>
      <c r="E62" s="11">
        <v>10518.04</v>
      </c>
      <c r="F62" s="12">
        <v>1205105</v>
      </c>
      <c r="G62" s="12">
        <v>8459</v>
      </c>
      <c r="H62" s="13">
        <f t="shared" si="0"/>
        <v>7.0193053717310938E-3</v>
      </c>
      <c r="I62">
        <v>1.24</v>
      </c>
      <c r="J62">
        <v>8.73</v>
      </c>
      <c r="K62">
        <f t="shared" si="1"/>
        <v>2.8846743309589997</v>
      </c>
      <c r="L62">
        <f t="shared" si="2"/>
        <v>1.8846743309589997</v>
      </c>
      <c r="M62">
        <f t="shared" si="3"/>
        <v>0</v>
      </c>
      <c r="N62" s="11">
        <f t="shared" si="4"/>
        <v>2.7854978813559326</v>
      </c>
      <c r="O62" s="11">
        <f t="shared" si="5"/>
        <v>7.5182558970693361</v>
      </c>
      <c r="P62" s="12">
        <v>3776</v>
      </c>
      <c r="Q62">
        <v>1399</v>
      </c>
      <c r="R62" s="14">
        <v>16.54</v>
      </c>
      <c r="S62" s="11">
        <v>30341.119999999999</v>
      </c>
      <c r="T62" s="15">
        <v>188.47</v>
      </c>
      <c r="U62" t="s">
        <v>40</v>
      </c>
    </row>
    <row r="63" spans="1:21" x14ac:dyDescent="0.3">
      <c r="A63" s="10">
        <v>45768</v>
      </c>
      <c r="B63" t="s">
        <v>24</v>
      </c>
      <c r="C63" t="s">
        <v>25</v>
      </c>
      <c r="D63" s="11">
        <v>11104.52</v>
      </c>
      <c r="E63" s="11">
        <v>9191.41</v>
      </c>
      <c r="F63" s="12">
        <v>1319819</v>
      </c>
      <c r="G63" s="12">
        <v>3459</v>
      </c>
      <c r="H63" s="13">
        <f t="shared" si="0"/>
        <v>2.6208139146352643E-3</v>
      </c>
      <c r="I63">
        <v>2.66</v>
      </c>
      <c r="J63">
        <v>6.96</v>
      </c>
      <c r="K63">
        <f t="shared" si="1"/>
        <v>1.3237979809409002</v>
      </c>
      <c r="L63">
        <f t="shared" si="2"/>
        <v>0.32379798094090023</v>
      </c>
      <c r="M63">
        <f t="shared" si="3"/>
        <v>0</v>
      </c>
      <c r="N63" s="11">
        <f t="shared" si="4"/>
        <v>5.9452846054333763</v>
      </c>
      <c r="O63" s="11">
        <f t="shared" si="5"/>
        <v>12.255213333333334</v>
      </c>
      <c r="P63" s="12">
        <v>1546</v>
      </c>
      <c r="Q63">
        <v>750</v>
      </c>
      <c r="R63" s="14">
        <v>21.68</v>
      </c>
      <c r="S63" s="11">
        <v>12167.57</v>
      </c>
      <c r="T63" s="15">
        <v>32.380000000000003</v>
      </c>
      <c r="U63" t="s">
        <v>40</v>
      </c>
    </row>
    <row r="64" spans="1:21" x14ac:dyDescent="0.3">
      <c r="A64" s="10">
        <v>45768</v>
      </c>
      <c r="B64" t="s">
        <v>26</v>
      </c>
      <c r="C64" t="s">
        <v>36</v>
      </c>
      <c r="D64" s="11">
        <v>7303.84</v>
      </c>
      <c r="E64" s="11">
        <v>5636.04</v>
      </c>
      <c r="F64" s="12">
        <v>811730</v>
      </c>
      <c r="G64" s="12">
        <v>21523</v>
      </c>
      <c r="H64" s="13">
        <f t="shared" si="0"/>
        <v>2.6514974190925553E-2</v>
      </c>
      <c r="I64">
        <v>0.26</v>
      </c>
      <c r="J64">
        <v>6.94</v>
      </c>
      <c r="K64">
        <f t="shared" si="1"/>
        <v>2.2674572927090653</v>
      </c>
      <c r="L64">
        <f t="shared" si="2"/>
        <v>1.2674572927090653</v>
      </c>
      <c r="M64">
        <f t="shared" si="3"/>
        <v>0</v>
      </c>
      <c r="N64" s="11">
        <f t="shared" si="4"/>
        <v>14.268455696202532</v>
      </c>
      <c r="O64" s="11">
        <f t="shared" si="5"/>
        <v>25.160892857142859</v>
      </c>
      <c r="P64" s="12">
        <v>395</v>
      </c>
      <c r="Q64">
        <v>224</v>
      </c>
      <c r="R64" s="14">
        <v>1.04</v>
      </c>
      <c r="S64" s="11">
        <v>12779.48</v>
      </c>
      <c r="T64" s="15">
        <v>126.75</v>
      </c>
      <c r="U64" t="s">
        <v>40</v>
      </c>
    </row>
    <row r="65" spans="1:21" x14ac:dyDescent="0.3">
      <c r="A65" s="10">
        <v>45768</v>
      </c>
      <c r="B65" t="s">
        <v>28</v>
      </c>
      <c r="C65" t="s">
        <v>29</v>
      </c>
      <c r="D65" s="11">
        <v>7352.1</v>
      </c>
      <c r="E65" s="11">
        <v>7130.01</v>
      </c>
      <c r="F65" s="12">
        <v>1049151</v>
      </c>
      <c r="G65" s="12">
        <v>21538</v>
      </c>
      <c r="H65" s="13">
        <f t="shared" si="0"/>
        <v>2.0528980099146835E-2</v>
      </c>
      <c r="I65">
        <v>0.33</v>
      </c>
      <c r="J65">
        <v>6.8</v>
      </c>
      <c r="K65">
        <f t="shared" si="1"/>
        <v>3.8954138914251173</v>
      </c>
      <c r="L65">
        <f t="shared" si="2"/>
        <v>2.8954138914251173</v>
      </c>
      <c r="M65">
        <f t="shared" si="3"/>
        <v>0</v>
      </c>
      <c r="N65" s="11">
        <f t="shared" si="4"/>
        <v>1.9614883081155434</v>
      </c>
      <c r="O65" s="11">
        <f t="shared" si="5"/>
        <v>88.024814814814818</v>
      </c>
      <c r="P65" s="12">
        <v>3635</v>
      </c>
      <c r="Q65">
        <v>81</v>
      </c>
      <c r="R65" s="14">
        <v>0.38</v>
      </c>
      <c r="S65" s="11">
        <v>27774.34</v>
      </c>
      <c r="T65" s="15">
        <v>289.54000000000002</v>
      </c>
      <c r="U65" t="s">
        <v>40</v>
      </c>
    </row>
    <row r="66" spans="1:21" x14ac:dyDescent="0.3">
      <c r="A66" s="10">
        <v>45775</v>
      </c>
      <c r="B66" t="s">
        <v>21</v>
      </c>
      <c r="C66" t="s">
        <v>22</v>
      </c>
      <c r="D66" s="11">
        <v>5869.84</v>
      </c>
      <c r="E66" s="11">
        <v>4851.3900000000003</v>
      </c>
      <c r="F66" s="12">
        <v>1232852</v>
      </c>
      <c r="G66" s="12">
        <v>22666</v>
      </c>
      <c r="H66" s="13">
        <f t="shared" ref="H66:H129" si="6">IF(F66 = 0,0,G66/F66)</f>
        <v>1.838501296181537E-2</v>
      </c>
      <c r="I66">
        <v>0.21</v>
      </c>
      <c r="J66">
        <v>3.94</v>
      </c>
      <c r="K66">
        <f t="shared" ref="K66:K129" si="7">IF(E66=0,0,S66/E66)</f>
        <v>2.9991198398809411</v>
      </c>
      <c r="L66">
        <f t="shared" ref="L66:L129" si="8">IF(E66=0,0,(S66-E66)/E66)</f>
        <v>1.9991198398809409</v>
      </c>
      <c r="M66">
        <f t="shared" ref="M66:M129" si="9">IF(T66&lt;0,1,0)</f>
        <v>0</v>
      </c>
      <c r="N66" s="11">
        <f t="shared" ref="N66:N129" si="10">IF(P66=0,0,E66/P66)</f>
        <v>2.2091939890710384</v>
      </c>
      <c r="O66" s="11">
        <f t="shared" ref="O66:O129" si="11">IF(Q66=0,0,E66/Q66)</f>
        <v>48.513900000000007</v>
      </c>
      <c r="P66" s="12">
        <v>2196</v>
      </c>
      <c r="Q66">
        <v>100</v>
      </c>
      <c r="R66" s="14">
        <v>0.44</v>
      </c>
      <c r="S66" s="11">
        <v>14549.9</v>
      </c>
      <c r="T66" s="15">
        <v>199.91</v>
      </c>
      <c r="U66" t="s">
        <v>40</v>
      </c>
    </row>
    <row r="67" spans="1:21" x14ac:dyDescent="0.3">
      <c r="A67" s="10">
        <v>45775</v>
      </c>
      <c r="B67" t="s">
        <v>24</v>
      </c>
      <c r="C67" t="s">
        <v>30</v>
      </c>
      <c r="D67" s="11">
        <v>8278.3700000000008</v>
      </c>
      <c r="E67" s="11">
        <v>6598.46</v>
      </c>
      <c r="F67" s="12">
        <v>447947</v>
      </c>
      <c r="G67" s="12">
        <v>31235</v>
      </c>
      <c r="H67" s="13">
        <f t="shared" si="6"/>
        <v>6.9729231359959995E-2</v>
      </c>
      <c r="I67">
        <v>0.21</v>
      </c>
      <c r="J67">
        <v>14.73</v>
      </c>
      <c r="K67">
        <f t="shared" si="7"/>
        <v>2.1457309735908074</v>
      </c>
      <c r="L67">
        <f t="shared" si="8"/>
        <v>1.1457309735908077</v>
      </c>
      <c r="M67">
        <f t="shared" si="9"/>
        <v>0</v>
      </c>
      <c r="N67" s="11">
        <f t="shared" si="10"/>
        <v>2.7818128161888702</v>
      </c>
      <c r="O67" s="11">
        <f t="shared" si="11"/>
        <v>2.9132273730684326</v>
      </c>
      <c r="P67" s="12">
        <v>2372</v>
      </c>
      <c r="Q67">
        <v>2265</v>
      </c>
      <c r="R67" s="14">
        <v>7.25</v>
      </c>
      <c r="S67" s="11">
        <v>14158.52</v>
      </c>
      <c r="T67" s="15">
        <v>114.57</v>
      </c>
      <c r="U67" t="s">
        <v>40</v>
      </c>
    </row>
    <row r="68" spans="1:21" x14ac:dyDescent="0.3">
      <c r="A68" s="10">
        <v>45775</v>
      </c>
      <c r="B68" t="s">
        <v>26</v>
      </c>
      <c r="C68" t="s">
        <v>36</v>
      </c>
      <c r="D68" s="11">
        <v>3525.94</v>
      </c>
      <c r="E68" s="11">
        <v>3102.2</v>
      </c>
      <c r="F68" s="12">
        <v>1327374</v>
      </c>
      <c r="G68" s="12">
        <v>27799</v>
      </c>
      <c r="H68" s="13">
        <f t="shared" si="6"/>
        <v>2.0942854086338891E-2</v>
      </c>
      <c r="I68">
        <v>0.11</v>
      </c>
      <c r="J68">
        <v>2.34</v>
      </c>
      <c r="K68">
        <f t="shared" si="7"/>
        <v>2.2399103861775513</v>
      </c>
      <c r="L68">
        <f t="shared" si="8"/>
        <v>1.2399103861775513</v>
      </c>
      <c r="M68">
        <f t="shared" si="9"/>
        <v>0</v>
      </c>
      <c r="N68" s="11">
        <f t="shared" si="10"/>
        <v>1.1485375786745649</v>
      </c>
      <c r="O68" s="11">
        <f t="shared" si="11"/>
        <v>2.3359939759036141</v>
      </c>
      <c r="P68" s="12">
        <v>2701</v>
      </c>
      <c r="Q68">
        <v>1328</v>
      </c>
      <c r="R68" s="14">
        <v>4.78</v>
      </c>
      <c r="S68" s="11">
        <v>6948.65</v>
      </c>
      <c r="T68" s="15">
        <v>123.99</v>
      </c>
      <c r="U68" t="s">
        <v>40</v>
      </c>
    </row>
    <row r="69" spans="1:21" x14ac:dyDescent="0.3">
      <c r="A69" s="10">
        <v>45775</v>
      </c>
      <c r="B69" t="s">
        <v>28</v>
      </c>
      <c r="C69" t="s">
        <v>35</v>
      </c>
      <c r="D69" s="11">
        <v>6245.3</v>
      </c>
      <c r="E69" s="11">
        <v>5645.83</v>
      </c>
      <c r="F69" s="12">
        <v>910154</v>
      </c>
      <c r="G69" s="12">
        <v>20240</v>
      </c>
      <c r="H69" s="13">
        <f t="shared" si="6"/>
        <v>2.2237994888777063E-2</v>
      </c>
      <c r="I69">
        <v>0.28000000000000003</v>
      </c>
      <c r="J69">
        <v>6.2</v>
      </c>
      <c r="K69">
        <f t="shared" si="7"/>
        <v>2.1012074398272707</v>
      </c>
      <c r="L69">
        <f t="shared" si="8"/>
        <v>1.1012074398272707</v>
      </c>
      <c r="M69">
        <f t="shared" si="9"/>
        <v>0</v>
      </c>
      <c r="N69" s="11">
        <f t="shared" si="10"/>
        <v>18.390325732899022</v>
      </c>
      <c r="O69" s="11">
        <f t="shared" si="11"/>
        <v>41.513455882352943</v>
      </c>
      <c r="P69" s="12">
        <v>307</v>
      </c>
      <c r="Q69">
        <v>136</v>
      </c>
      <c r="R69" s="14">
        <v>0.67</v>
      </c>
      <c r="S69" s="11">
        <v>11863.06</v>
      </c>
      <c r="T69" s="15">
        <v>110.12</v>
      </c>
      <c r="U69" t="s">
        <v>40</v>
      </c>
    </row>
    <row r="70" spans="1:21" x14ac:dyDescent="0.3">
      <c r="A70" s="10">
        <v>45782</v>
      </c>
      <c r="B70" t="s">
        <v>21</v>
      </c>
      <c r="C70" t="s">
        <v>37</v>
      </c>
      <c r="D70" s="11">
        <v>6376.5</v>
      </c>
      <c r="E70" s="11">
        <v>5876.22</v>
      </c>
      <c r="F70" s="12">
        <v>410671</v>
      </c>
      <c r="G70" s="12">
        <v>37522</v>
      </c>
      <c r="H70" s="13">
        <f t="shared" si="6"/>
        <v>9.1367542387945588E-2</v>
      </c>
      <c r="I70">
        <v>0.16</v>
      </c>
      <c r="J70">
        <v>14.31</v>
      </c>
      <c r="K70">
        <f t="shared" si="7"/>
        <v>1.6058146223252363</v>
      </c>
      <c r="L70">
        <f t="shared" si="8"/>
        <v>0.60581462232523631</v>
      </c>
      <c r="M70">
        <f t="shared" si="9"/>
        <v>0</v>
      </c>
      <c r="N70" s="11">
        <f t="shared" si="10"/>
        <v>3.5721702127659576</v>
      </c>
      <c r="O70" s="11">
        <f t="shared" si="11"/>
        <v>10.166470588235294</v>
      </c>
      <c r="P70" s="12">
        <v>1645</v>
      </c>
      <c r="Q70">
        <v>578</v>
      </c>
      <c r="R70" s="14">
        <v>1.54</v>
      </c>
      <c r="S70" s="11">
        <v>9436.1200000000008</v>
      </c>
      <c r="T70" s="15">
        <v>60.58</v>
      </c>
      <c r="U70" t="s">
        <v>41</v>
      </c>
    </row>
    <row r="71" spans="1:21" x14ac:dyDescent="0.3">
      <c r="A71" s="10">
        <v>45782</v>
      </c>
      <c r="B71" t="s">
        <v>24</v>
      </c>
      <c r="C71" t="s">
        <v>25</v>
      </c>
      <c r="D71" s="11">
        <v>8563.1299999999992</v>
      </c>
      <c r="E71" s="11">
        <v>7616.12</v>
      </c>
      <c r="F71" s="12">
        <v>863900</v>
      </c>
      <c r="G71" s="12">
        <v>33509</v>
      </c>
      <c r="H71" s="13">
        <f t="shared" si="6"/>
        <v>3.8788054172936681E-2</v>
      </c>
      <c r="I71">
        <v>0.23</v>
      </c>
      <c r="J71">
        <v>8.82</v>
      </c>
      <c r="K71">
        <f t="shared" si="7"/>
        <v>2.066242391138795</v>
      </c>
      <c r="L71">
        <f t="shared" si="8"/>
        <v>1.066242391138795</v>
      </c>
      <c r="M71">
        <f t="shared" si="9"/>
        <v>0</v>
      </c>
      <c r="N71" s="11">
        <f t="shared" si="10"/>
        <v>3.4713400182315404</v>
      </c>
      <c r="O71" s="11">
        <f t="shared" si="11"/>
        <v>5.198716723549488</v>
      </c>
      <c r="P71" s="12">
        <v>2194</v>
      </c>
      <c r="Q71">
        <v>1465</v>
      </c>
      <c r="R71" s="14">
        <v>4.37</v>
      </c>
      <c r="S71" s="11">
        <v>15736.75</v>
      </c>
      <c r="T71" s="15">
        <v>106.62</v>
      </c>
      <c r="U71" t="s">
        <v>41</v>
      </c>
    </row>
    <row r="72" spans="1:21" x14ac:dyDescent="0.3">
      <c r="A72" s="10">
        <v>45782</v>
      </c>
      <c r="B72" t="s">
        <v>26</v>
      </c>
      <c r="C72" t="s">
        <v>27</v>
      </c>
      <c r="D72" s="11">
        <v>6868.15</v>
      </c>
      <c r="E72" s="11">
        <v>5918.9</v>
      </c>
      <c r="F72" s="12">
        <v>612752</v>
      </c>
      <c r="G72" s="12">
        <v>26123</v>
      </c>
      <c r="H72" s="13">
        <f t="shared" si="6"/>
        <v>4.263225579027078E-2</v>
      </c>
      <c r="I72">
        <v>0.23</v>
      </c>
      <c r="J72">
        <v>9.66</v>
      </c>
      <c r="K72">
        <f t="shared" si="7"/>
        <v>3.902554528713106</v>
      </c>
      <c r="L72">
        <f t="shared" si="8"/>
        <v>2.9025545287131056</v>
      </c>
      <c r="M72">
        <f t="shared" si="9"/>
        <v>0</v>
      </c>
      <c r="N72" s="11">
        <f t="shared" si="10"/>
        <v>1.819520442668306</v>
      </c>
      <c r="O72" s="11">
        <f t="shared" si="11"/>
        <v>2.5801656495204881</v>
      </c>
      <c r="P72" s="12">
        <v>3253</v>
      </c>
      <c r="Q72">
        <v>2294</v>
      </c>
      <c r="R72" s="14">
        <v>8.7799999999999994</v>
      </c>
      <c r="S72" s="11">
        <v>23098.83</v>
      </c>
      <c r="T72" s="15">
        <v>290.26</v>
      </c>
      <c r="U72" t="s">
        <v>41</v>
      </c>
    </row>
    <row r="73" spans="1:21" x14ac:dyDescent="0.3">
      <c r="A73" s="10">
        <v>45782</v>
      </c>
      <c r="B73" t="s">
        <v>28</v>
      </c>
      <c r="C73" t="s">
        <v>29</v>
      </c>
      <c r="D73" s="11">
        <v>4369.37</v>
      </c>
      <c r="E73" s="11">
        <v>4244.93</v>
      </c>
      <c r="F73" s="12">
        <v>1471735</v>
      </c>
      <c r="G73" s="12">
        <v>27580</v>
      </c>
      <c r="H73" s="13">
        <f t="shared" si="6"/>
        <v>1.8739786714320174E-2</v>
      </c>
      <c r="I73">
        <v>0.15</v>
      </c>
      <c r="J73">
        <v>2.88</v>
      </c>
      <c r="K73">
        <f t="shared" si="7"/>
        <v>3.062615873524416</v>
      </c>
      <c r="L73">
        <f t="shared" si="8"/>
        <v>2.062615873524416</v>
      </c>
      <c r="M73">
        <f t="shared" si="9"/>
        <v>0</v>
      </c>
      <c r="N73" s="11">
        <f t="shared" si="10"/>
        <v>1.2145722460658084</v>
      </c>
      <c r="O73" s="11">
        <f t="shared" si="11"/>
        <v>3.1773428143712579</v>
      </c>
      <c r="P73" s="12">
        <v>3495</v>
      </c>
      <c r="Q73">
        <v>1336</v>
      </c>
      <c r="R73" s="14">
        <v>4.84</v>
      </c>
      <c r="S73" s="11">
        <v>13000.59</v>
      </c>
      <c r="T73" s="15">
        <v>206.26</v>
      </c>
      <c r="U73" t="s">
        <v>41</v>
      </c>
    </row>
    <row r="74" spans="1:21" x14ac:dyDescent="0.3">
      <c r="A74" s="10">
        <v>45789</v>
      </c>
      <c r="B74" t="s">
        <v>21</v>
      </c>
      <c r="C74" t="s">
        <v>32</v>
      </c>
      <c r="D74" s="11">
        <v>9665.69</v>
      </c>
      <c r="E74" s="11">
        <v>9180</v>
      </c>
      <c r="F74" s="12">
        <v>1135771</v>
      </c>
      <c r="G74" s="12">
        <v>44255</v>
      </c>
      <c r="H74" s="13">
        <f t="shared" si="6"/>
        <v>3.8964720881233983E-2</v>
      </c>
      <c r="I74">
        <v>0.21</v>
      </c>
      <c r="J74">
        <v>8.08</v>
      </c>
      <c r="K74">
        <f t="shared" si="7"/>
        <v>1.6169738562091502</v>
      </c>
      <c r="L74">
        <f t="shared" si="8"/>
        <v>0.61697385620915024</v>
      </c>
      <c r="M74">
        <f t="shared" si="9"/>
        <v>0</v>
      </c>
      <c r="N74" s="11">
        <f t="shared" si="10"/>
        <v>55.30120481927711</v>
      </c>
      <c r="O74" s="11">
        <f t="shared" si="11"/>
        <v>106.74418604651163</v>
      </c>
      <c r="P74" s="12">
        <v>166</v>
      </c>
      <c r="Q74">
        <v>86</v>
      </c>
      <c r="R74" s="14">
        <v>0.19</v>
      </c>
      <c r="S74" s="11">
        <v>14843.82</v>
      </c>
      <c r="T74" s="15">
        <v>61.7</v>
      </c>
      <c r="U74" t="s">
        <v>41</v>
      </c>
    </row>
    <row r="75" spans="1:21" x14ac:dyDescent="0.3">
      <c r="A75" s="10">
        <v>45789</v>
      </c>
      <c r="B75" t="s">
        <v>24</v>
      </c>
      <c r="C75" t="s">
        <v>25</v>
      </c>
      <c r="D75" s="11">
        <v>10298.290000000001</v>
      </c>
      <c r="E75" s="11">
        <v>9302.64</v>
      </c>
      <c r="F75" s="12">
        <v>963530</v>
      </c>
      <c r="G75" s="12">
        <v>53119</v>
      </c>
      <c r="H75" s="13">
        <f t="shared" si="6"/>
        <v>5.5129575622969704E-2</v>
      </c>
      <c r="I75">
        <v>0.18</v>
      </c>
      <c r="J75">
        <v>9.65</v>
      </c>
      <c r="K75">
        <f t="shared" si="7"/>
        <v>3.0762159988992375</v>
      </c>
      <c r="L75">
        <f t="shared" si="8"/>
        <v>2.0762159988992375</v>
      </c>
      <c r="M75">
        <f t="shared" si="9"/>
        <v>0</v>
      </c>
      <c r="N75" s="11">
        <f t="shared" si="10"/>
        <v>13.580496350364962</v>
      </c>
      <c r="O75" s="11">
        <f t="shared" si="11"/>
        <v>75.631219512195116</v>
      </c>
      <c r="P75" s="12">
        <v>685</v>
      </c>
      <c r="Q75">
        <v>123</v>
      </c>
      <c r="R75" s="14">
        <v>0.23</v>
      </c>
      <c r="S75" s="11">
        <v>28616.93</v>
      </c>
      <c r="T75" s="15">
        <v>207.62</v>
      </c>
      <c r="U75" t="s">
        <v>41</v>
      </c>
    </row>
    <row r="76" spans="1:21" x14ac:dyDescent="0.3">
      <c r="A76" s="10">
        <v>45789</v>
      </c>
      <c r="B76" t="s">
        <v>26</v>
      </c>
      <c r="C76" t="s">
        <v>34</v>
      </c>
      <c r="D76" s="11">
        <v>10766.18</v>
      </c>
      <c r="E76" s="11">
        <v>10371.83</v>
      </c>
      <c r="F76" s="12">
        <v>427922</v>
      </c>
      <c r="G76" s="12">
        <v>52239</v>
      </c>
      <c r="H76" s="13">
        <f t="shared" si="6"/>
        <v>0.12207598581049818</v>
      </c>
      <c r="I76">
        <v>0.2</v>
      </c>
      <c r="J76">
        <v>24.24</v>
      </c>
      <c r="K76">
        <f t="shared" si="7"/>
        <v>4.5379754585256409</v>
      </c>
      <c r="L76">
        <f t="shared" si="8"/>
        <v>3.5379754585256409</v>
      </c>
      <c r="M76">
        <f t="shared" si="9"/>
        <v>0</v>
      </c>
      <c r="N76" s="11">
        <f t="shared" si="10"/>
        <v>3.2381610989697158</v>
      </c>
      <c r="O76" s="11">
        <f t="shared" si="11"/>
        <v>4.9936591237361583</v>
      </c>
      <c r="P76" s="12">
        <v>3203</v>
      </c>
      <c r="Q76">
        <v>2077</v>
      </c>
      <c r="R76" s="14">
        <v>3.98</v>
      </c>
      <c r="S76" s="11">
        <v>47067.11</v>
      </c>
      <c r="T76" s="15">
        <v>353.8</v>
      </c>
      <c r="U76" t="s">
        <v>41</v>
      </c>
    </row>
    <row r="77" spans="1:21" x14ac:dyDescent="0.3">
      <c r="A77" s="10">
        <v>45789</v>
      </c>
      <c r="B77" t="s">
        <v>28</v>
      </c>
      <c r="C77" t="s">
        <v>29</v>
      </c>
      <c r="D77" s="11">
        <v>4859.05</v>
      </c>
      <c r="E77" s="11">
        <v>4345.91</v>
      </c>
      <c r="F77" s="12">
        <v>1306676</v>
      </c>
      <c r="G77" s="12">
        <v>19774</v>
      </c>
      <c r="H77" s="13">
        <f t="shared" si="6"/>
        <v>1.5133055172054894E-2</v>
      </c>
      <c r="I77">
        <v>0.22</v>
      </c>
      <c r="J77">
        <v>3.33</v>
      </c>
      <c r="K77">
        <f t="shared" si="7"/>
        <v>3.5173024752008208</v>
      </c>
      <c r="L77">
        <f t="shared" si="8"/>
        <v>2.5173024752008208</v>
      </c>
      <c r="M77">
        <f t="shared" si="9"/>
        <v>0</v>
      </c>
      <c r="N77" s="11">
        <f t="shared" si="10"/>
        <v>9.7660898876404492</v>
      </c>
      <c r="O77" s="11">
        <f t="shared" si="11"/>
        <v>28.404640522875816</v>
      </c>
      <c r="P77" s="12">
        <v>445</v>
      </c>
      <c r="Q77">
        <v>153</v>
      </c>
      <c r="R77" s="14">
        <v>0.77</v>
      </c>
      <c r="S77" s="11">
        <v>15285.88</v>
      </c>
      <c r="T77" s="15">
        <v>251.73</v>
      </c>
      <c r="U77" t="s">
        <v>41</v>
      </c>
    </row>
    <row r="78" spans="1:21" x14ac:dyDescent="0.3">
      <c r="A78" s="10">
        <v>45796</v>
      </c>
      <c r="B78" t="s">
        <v>21</v>
      </c>
      <c r="C78" t="s">
        <v>37</v>
      </c>
      <c r="D78" s="11">
        <v>9642.35</v>
      </c>
      <c r="E78" s="11">
        <v>7797.97</v>
      </c>
      <c r="F78" s="12">
        <v>146606</v>
      </c>
      <c r="G78" s="12">
        <v>49604</v>
      </c>
      <c r="H78" s="13">
        <f t="shared" si="6"/>
        <v>0.33834904437744706</v>
      </c>
      <c r="I78">
        <v>0.16</v>
      </c>
      <c r="J78">
        <v>53.19</v>
      </c>
      <c r="K78">
        <f t="shared" si="7"/>
        <v>1.8673423980856556</v>
      </c>
      <c r="L78">
        <f t="shared" si="8"/>
        <v>0.8673423980856555</v>
      </c>
      <c r="M78">
        <f t="shared" si="9"/>
        <v>0</v>
      </c>
      <c r="N78" s="11">
        <f t="shared" si="10"/>
        <v>4.3808820224719103</v>
      </c>
      <c r="O78" s="11">
        <f t="shared" si="11"/>
        <v>9.8459217171717182</v>
      </c>
      <c r="P78" s="12">
        <v>1780</v>
      </c>
      <c r="Q78">
        <v>792</v>
      </c>
      <c r="R78" s="14">
        <v>1.6</v>
      </c>
      <c r="S78" s="11">
        <v>14561.48</v>
      </c>
      <c r="T78" s="15">
        <v>86.73</v>
      </c>
      <c r="U78" t="s">
        <v>41</v>
      </c>
    </row>
    <row r="79" spans="1:21" x14ac:dyDescent="0.3">
      <c r="A79" s="10">
        <v>45796</v>
      </c>
      <c r="B79" t="s">
        <v>24</v>
      </c>
      <c r="C79" t="s">
        <v>33</v>
      </c>
      <c r="D79" s="11">
        <v>3294.53</v>
      </c>
      <c r="E79" s="11">
        <v>3012.21</v>
      </c>
      <c r="F79" s="12">
        <v>1474767</v>
      </c>
      <c r="G79" s="12">
        <v>24625</v>
      </c>
      <c r="H79" s="13">
        <f t="shared" si="6"/>
        <v>1.6697552901576995E-2</v>
      </c>
      <c r="I79">
        <v>0.12</v>
      </c>
      <c r="J79">
        <v>2.04</v>
      </c>
      <c r="K79">
        <f t="shared" si="7"/>
        <v>3.3143705120160942</v>
      </c>
      <c r="L79">
        <f t="shared" si="8"/>
        <v>2.3143705120160942</v>
      </c>
      <c r="M79">
        <f t="shared" si="9"/>
        <v>0</v>
      </c>
      <c r="N79" s="11">
        <f t="shared" si="10"/>
        <v>0.92427431727523779</v>
      </c>
      <c r="O79" s="11">
        <f t="shared" si="11"/>
        <v>1.5159587317564167</v>
      </c>
      <c r="P79" s="12">
        <v>3259</v>
      </c>
      <c r="Q79">
        <v>1987</v>
      </c>
      <c r="R79" s="14">
        <v>8.07</v>
      </c>
      <c r="S79" s="11">
        <v>9983.58</v>
      </c>
      <c r="T79" s="15">
        <v>231.44</v>
      </c>
      <c r="U79" t="s">
        <v>41</v>
      </c>
    </row>
    <row r="80" spans="1:21" x14ac:dyDescent="0.3">
      <c r="A80" s="10">
        <v>45796</v>
      </c>
      <c r="B80" t="s">
        <v>26</v>
      </c>
      <c r="C80" t="s">
        <v>36</v>
      </c>
      <c r="D80" s="11">
        <v>10598.61</v>
      </c>
      <c r="E80" s="11">
        <v>8382.32</v>
      </c>
      <c r="F80" s="12">
        <v>261187</v>
      </c>
      <c r="G80" s="12">
        <v>20980</v>
      </c>
      <c r="H80" s="13">
        <f t="shared" si="6"/>
        <v>8.0325590477320852E-2</v>
      </c>
      <c r="I80">
        <v>0.4</v>
      </c>
      <c r="J80">
        <v>32.090000000000003</v>
      </c>
      <c r="K80">
        <f t="shared" si="7"/>
        <v>4.8634984109411237</v>
      </c>
      <c r="L80">
        <f t="shared" si="8"/>
        <v>3.8634984109411241</v>
      </c>
      <c r="M80">
        <f t="shared" si="9"/>
        <v>0</v>
      </c>
      <c r="N80" s="11">
        <f t="shared" si="10"/>
        <v>2.5447237401335761</v>
      </c>
      <c r="O80" s="11">
        <f t="shared" si="11"/>
        <v>5.6637297297297291</v>
      </c>
      <c r="P80" s="12">
        <v>3294</v>
      </c>
      <c r="Q80">
        <v>1480</v>
      </c>
      <c r="R80" s="14">
        <v>7.05</v>
      </c>
      <c r="S80" s="11">
        <v>40767.4</v>
      </c>
      <c r="T80" s="15">
        <v>386.35</v>
      </c>
      <c r="U80" t="s">
        <v>41</v>
      </c>
    </row>
    <row r="81" spans="1:21" x14ac:dyDescent="0.3">
      <c r="A81" s="10">
        <v>45796</v>
      </c>
      <c r="B81" t="s">
        <v>28</v>
      </c>
      <c r="C81" t="s">
        <v>29</v>
      </c>
      <c r="D81" s="11">
        <v>11911.21</v>
      </c>
      <c r="E81" s="11">
        <v>9913.7800000000007</v>
      </c>
      <c r="F81" s="12">
        <v>638858</v>
      </c>
      <c r="G81" s="12">
        <v>54242</v>
      </c>
      <c r="H81" s="13">
        <f t="shared" si="6"/>
        <v>8.4904626693255783E-2</v>
      </c>
      <c r="I81">
        <v>0.18</v>
      </c>
      <c r="J81">
        <v>15.52</v>
      </c>
      <c r="K81">
        <f t="shared" si="7"/>
        <v>4.3756246356082142</v>
      </c>
      <c r="L81">
        <f t="shared" si="8"/>
        <v>3.3756246356082142</v>
      </c>
      <c r="M81">
        <f t="shared" si="9"/>
        <v>0</v>
      </c>
      <c r="N81" s="11">
        <f t="shared" si="10"/>
        <v>4.1153092569530925</v>
      </c>
      <c r="O81" s="11">
        <f t="shared" si="11"/>
        <v>17.608845470692717</v>
      </c>
      <c r="P81" s="12">
        <v>2409</v>
      </c>
      <c r="Q81">
        <v>563</v>
      </c>
      <c r="R81" s="14">
        <v>1.04</v>
      </c>
      <c r="S81" s="11">
        <v>43378.98</v>
      </c>
      <c r="T81" s="15">
        <v>337.56</v>
      </c>
      <c r="U81" t="s">
        <v>41</v>
      </c>
    </row>
    <row r="82" spans="1:21" x14ac:dyDescent="0.3">
      <c r="A82" s="10">
        <v>45803</v>
      </c>
      <c r="B82" t="s">
        <v>21</v>
      </c>
      <c r="C82" t="s">
        <v>22</v>
      </c>
      <c r="D82" s="11">
        <v>4214.25</v>
      </c>
      <c r="E82" s="11">
        <v>3609.82</v>
      </c>
      <c r="F82" s="12">
        <v>1392057</v>
      </c>
      <c r="G82" s="12">
        <v>10540</v>
      </c>
      <c r="H82" s="13">
        <f t="shared" si="6"/>
        <v>7.5715290393999672E-3</v>
      </c>
      <c r="I82">
        <v>0.34</v>
      </c>
      <c r="J82">
        <v>2.59</v>
      </c>
      <c r="K82">
        <f t="shared" si="7"/>
        <v>4.7378262628053474</v>
      </c>
      <c r="L82">
        <f t="shared" si="8"/>
        <v>3.7378262628053478</v>
      </c>
      <c r="M82">
        <f t="shared" si="9"/>
        <v>0</v>
      </c>
      <c r="N82" s="11">
        <f t="shared" si="10"/>
        <v>1.0472352770525095</v>
      </c>
      <c r="O82" s="11">
        <f t="shared" si="11"/>
        <v>2.0417533936651586</v>
      </c>
      <c r="P82" s="12">
        <v>3447</v>
      </c>
      <c r="Q82">
        <v>1768</v>
      </c>
      <c r="R82" s="14">
        <v>16.77</v>
      </c>
      <c r="S82" s="11">
        <v>17102.7</v>
      </c>
      <c r="T82" s="15">
        <v>373.78</v>
      </c>
      <c r="U82" t="s">
        <v>41</v>
      </c>
    </row>
    <row r="83" spans="1:21" x14ac:dyDescent="0.3">
      <c r="A83" s="10">
        <v>45803</v>
      </c>
      <c r="B83" t="s">
        <v>24</v>
      </c>
      <c r="C83" t="s">
        <v>25</v>
      </c>
      <c r="D83" s="11">
        <v>10745.52</v>
      </c>
      <c r="E83" s="11">
        <v>9039.6299999999992</v>
      </c>
      <c r="F83" s="12">
        <v>369429</v>
      </c>
      <c r="G83" s="12">
        <v>22062</v>
      </c>
      <c r="H83" s="13">
        <f t="shared" si="6"/>
        <v>5.9719188260802483E-2</v>
      </c>
      <c r="I83">
        <v>0.41</v>
      </c>
      <c r="J83">
        <v>24.47</v>
      </c>
      <c r="K83">
        <f t="shared" si="7"/>
        <v>2.3817711565628241</v>
      </c>
      <c r="L83">
        <f t="shared" si="8"/>
        <v>1.3817711565628243</v>
      </c>
      <c r="M83">
        <f t="shared" si="9"/>
        <v>0</v>
      </c>
      <c r="N83" s="11">
        <f t="shared" si="10"/>
        <v>2.4577569331158235</v>
      </c>
      <c r="O83" s="11">
        <f t="shared" si="11"/>
        <v>39.822158590308369</v>
      </c>
      <c r="P83" s="12">
        <v>3678</v>
      </c>
      <c r="Q83">
        <v>227</v>
      </c>
      <c r="R83" s="14">
        <v>1.03</v>
      </c>
      <c r="S83" s="11">
        <v>21530.33</v>
      </c>
      <c r="T83" s="15">
        <v>138.18</v>
      </c>
      <c r="U83" t="s">
        <v>41</v>
      </c>
    </row>
    <row r="84" spans="1:21" x14ac:dyDescent="0.3">
      <c r="A84" s="10">
        <v>45803</v>
      </c>
      <c r="B84" t="s">
        <v>26</v>
      </c>
      <c r="C84" t="s">
        <v>36</v>
      </c>
      <c r="D84" s="11">
        <v>11948.58</v>
      </c>
      <c r="E84" s="11">
        <v>10429.33</v>
      </c>
      <c r="F84" s="12">
        <v>1297322</v>
      </c>
      <c r="G84" s="12">
        <v>45906</v>
      </c>
      <c r="H84" s="13">
        <f t="shared" si="6"/>
        <v>3.5385201206793684E-2</v>
      </c>
      <c r="I84">
        <v>0.23</v>
      </c>
      <c r="J84">
        <v>8.0399999999999991</v>
      </c>
      <c r="K84">
        <f t="shared" si="7"/>
        <v>2.5956144833848387</v>
      </c>
      <c r="L84">
        <f t="shared" si="8"/>
        <v>1.5956144833848389</v>
      </c>
      <c r="M84">
        <f t="shared" si="9"/>
        <v>0</v>
      </c>
      <c r="N84" s="11">
        <f t="shared" si="10"/>
        <v>4.7341488878801634</v>
      </c>
      <c r="O84" s="11">
        <f t="shared" si="11"/>
        <v>9.9993576222435276</v>
      </c>
      <c r="P84" s="12">
        <v>2203</v>
      </c>
      <c r="Q84">
        <v>1043</v>
      </c>
      <c r="R84" s="14">
        <v>2.27</v>
      </c>
      <c r="S84" s="11">
        <v>27070.52</v>
      </c>
      <c r="T84" s="15">
        <v>159.56</v>
      </c>
      <c r="U84" t="s">
        <v>41</v>
      </c>
    </row>
    <row r="85" spans="1:21" x14ac:dyDescent="0.3">
      <c r="A85" s="10">
        <v>45803</v>
      </c>
      <c r="B85" t="s">
        <v>28</v>
      </c>
      <c r="C85" t="s">
        <v>31</v>
      </c>
      <c r="D85" s="11">
        <v>8385.83</v>
      </c>
      <c r="E85" s="11">
        <v>6685.69</v>
      </c>
      <c r="F85" s="12">
        <v>1391983</v>
      </c>
      <c r="G85" s="12">
        <v>14829</v>
      </c>
      <c r="H85" s="13">
        <f t="shared" si="6"/>
        <v>1.065314734447188E-2</v>
      </c>
      <c r="I85">
        <v>0.45</v>
      </c>
      <c r="J85">
        <v>4.8</v>
      </c>
      <c r="K85">
        <f t="shared" si="7"/>
        <v>4.9285832875888662</v>
      </c>
      <c r="L85">
        <f t="shared" si="8"/>
        <v>3.9285832875888662</v>
      </c>
      <c r="M85">
        <f t="shared" si="9"/>
        <v>0</v>
      </c>
      <c r="N85" s="11">
        <f t="shared" si="10"/>
        <v>22.896198630136986</v>
      </c>
      <c r="O85" s="11">
        <f t="shared" si="11"/>
        <v>57.635258620689655</v>
      </c>
      <c r="P85" s="12">
        <v>292</v>
      </c>
      <c r="Q85">
        <v>116</v>
      </c>
      <c r="R85" s="14">
        <v>0.78</v>
      </c>
      <c r="S85" s="11">
        <v>32950.980000000003</v>
      </c>
      <c r="T85" s="15">
        <v>392.86</v>
      </c>
      <c r="U85" t="s">
        <v>41</v>
      </c>
    </row>
    <row r="86" spans="1:21" x14ac:dyDescent="0.3">
      <c r="A86" s="10">
        <v>45810</v>
      </c>
      <c r="B86" t="s">
        <v>21</v>
      </c>
      <c r="C86" t="s">
        <v>37</v>
      </c>
      <c r="D86" s="11">
        <v>7823.59</v>
      </c>
      <c r="E86" s="11">
        <v>7287.19</v>
      </c>
      <c r="F86" s="12">
        <v>1128399</v>
      </c>
      <c r="G86" s="12">
        <v>11854</v>
      </c>
      <c r="H86" s="13">
        <f t="shared" si="6"/>
        <v>1.0505149331043363E-2</v>
      </c>
      <c r="I86">
        <v>0.61</v>
      </c>
      <c r="J86">
        <v>6.46</v>
      </c>
      <c r="K86">
        <f t="shared" si="7"/>
        <v>1.5836241404437101</v>
      </c>
      <c r="L86">
        <f t="shared" si="8"/>
        <v>0.58362414044371025</v>
      </c>
      <c r="M86">
        <f t="shared" si="9"/>
        <v>0</v>
      </c>
      <c r="N86" s="11">
        <f t="shared" si="10"/>
        <v>1.8360267069790879</v>
      </c>
      <c r="O86" s="11">
        <f t="shared" si="11"/>
        <v>3.0503097530347425</v>
      </c>
      <c r="P86" s="12">
        <v>3969</v>
      </c>
      <c r="Q86">
        <v>2389</v>
      </c>
      <c r="R86" s="14">
        <v>20.149999999999999</v>
      </c>
      <c r="S86" s="11">
        <v>11540.17</v>
      </c>
      <c r="T86" s="15">
        <v>58.36</v>
      </c>
      <c r="U86" t="s">
        <v>42</v>
      </c>
    </row>
    <row r="87" spans="1:21" x14ac:dyDescent="0.3">
      <c r="A87" s="10">
        <v>45810</v>
      </c>
      <c r="B87" t="s">
        <v>24</v>
      </c>
      <c r="C87" t="s">
        <v>25</v>
      </c>
      <c r="D87" s="11">
        <v>10950.42</v>
      </c>
      <c r="E87" s="11">
        <v>10497.98</v>
      </c>
      <c r="F87" s="12">
        <v>523493</v>
      </c>
      <c r="G87" s="12">
        <v>21313</v>
      </c>
      <c r="H87" s="13">
        <f t="shared" si="6"/>
        <v>4.0713056335041728E-2</v>
      </c>
      <c r="I87">
        <v>0.49</v>
      </c>
      <c r="J87">
        <v>20.05</v>
      </c>
      <c r="K87">
        <f t="shared" si="7"/>
        <v>3.2531286971398305</v>
      </c>
      <c r="L87">
        <f t="shared" si="8"/>
        <v>2.2531286971398305</v>
      </c>
      <c r="M87">
        <f t="shared" si="9"/>
        <v>0</v>
      </c>
      <c r="N87" s="11">
        <f t="shared" si="10"/>
        <v>2.7338489583333332</v>
      </c>
      <c r="O87" s="11">
        <f t="shared" si="11"/>
        <v>4.9659318826868493</v>
      </c>
      <c r="P87" s="12">
        <v>3840</v>
      </c>
      <c r="Q87">
        <v>2114</v>
      </c>
      <c r="R87" s="14">
        <v>9.92</v>
      </c>
      <c r="S87" s="11">
        <v>34151.279999999999</v>
      </c>
      <c r="T87" s="15">
        <v>225.31</v>
      </c>
      <c r="U87" t="s">
        <v>42</v>
      </c>
    </row>
    <row r="88" spans="1:21" x14ac:dyDescent="0.3">
      <c r="A88" s="10">
        <v>45810</v>
      </c>
      <c r="B88" t="s">
        <v>26</v>
      </c>
      <c r="C88" t="s">
        <v>34</v>
      </c>
      <c r="D88" s="11">
        <v>8711.85</v>
      </c>
      <c r="E88" s="11">
        <v>6682.46</v>
      </c>
      <c r="F88" s="12">
        <v>1212453</v>
      </c>
      <c r="G88" s="12">
        <v>11780</v>
      </c>
      <c r="H88" s="13">
        <f t="shared" si="6"/>
        <v>9.7158405315505014E-3</v>
      </c>
      <c r="I88">
        <v>0.56999999999999995</v>
      </c>
      <c r="J88">
        <v>5.51</v>
      </c>
      <c r="K88">
        <f t="shared" si="7"/>
        <v>2.2323380910622737</v>
      </c>
      <c r="L88">
        <f t="shared" si="8"/>
        <v>1.2323380910622734</v>
      </c>
      <c r="M88">
        <f t="shared" si="9"/>
        <v>0</v>
      </c>
      <c r="N88" s="11">
        <f t="shared" si="10"/>
        <v>3.6556126914660831</v>
      </c>
      <c r="O88" s="11">
        <f t="shared" si="11"/>
        <v>6.570757128810226</v>
      </c>
      <c r="P88" s="12">
        <v>1828</v>
      </c>
      <c r="Q88">
        <v>1017</v>
      </c>
      <c r="R88" s="14">
        <v>8.6300000000000008</v>
      </c>
      <c r="S88" s="11">
        <v>14917.51</v>
      </c>
      <c r="T88" s="15">
        <v>123.23</v>
      </c>
      <c r="U88" t="s">
        <v>42</v>
      </c>
    </row>
    <row r="89" spans="1:21" x14ac:dyDescent="0.3">
      <c r="A89" s="10">
        <v>45810</v>
      </c>
      <c r="B89" t="s">
        <v>28</v>
      </c>
      <c r="C89" t="s">
        <v>29</v>
      </c>
      <c r="D89" s="11">
        <v>11261.69</v>
      </c>
      <c r="E89" s="11">
        <v>9134.9</v>
      </c>
      <c r="F89" s="12">
        <v>1306251</v>
      </c>
      <c r="G89" s="12">
        <v>55079</v>
      </c>
      <c r="H89" s="13">
        <f t="shared" si="6"/>
        <v>4.2165709346825384E-2</v>
      </c>
      <c r="I89">
        <v>0.17</v>
      </c>
      <c r="J89">
        <v>6.99</v>
      </c>
      <c r="K89">
        <f t="shared" si="7"/>
        <v>3.8266987049666668</v>
      </c>
      <c r="L89">
        <f t="shared" si="8"/>
        <v>2.8266987049666663</v>
      </c>
      <c r="M89">
        <f t="shared" si="9"/>
        <v>0</v>
      </c>
      <c r="N89" s="11">
        <f t="shared" si="10"/>
        <v>50.191758241758237</v>
      </c>
      <c r="O89" s="11">
        <f t="shared" si="11"/>
        <v>69.732061068702293</v>
      </c>
      <c r="P89" s="12">
        <v>182</v>
      </c>
      <c r="Q89">
        <v>131</v>
      </c>
      <c r="R89" s="14">
        <v>0.24</v>
      </c>
      <c r="S89" s="11">
        <v>34956.51</v>
      </c>
      <c r="T89" s="15">
        <v>282.67</v>
      </c>
      <c r="U89" t="s">
        <v>42</v>
      </c>
    </row>
    <row r="90" spans="1:21" x14ac:dyDescent="0.3">
      <c r="A90" s="10">
        <v>45817</v>
      </c>
      <c r="B90" t="s">
        <v>21</v>
      </c>
      <c r="C90" t="s">
        <v>32</v>
      </c>
      <c r="D90" s="11">
        <v>7131.38</v>
      </c>
      <c r="E90" s="11">
        <v>6592.73</v>
      </c>
      <c r="F90" s="12">
        <v>102150</v>
      </c>
      <c r="G90" s="12">
        <v>22349</v>
      </c>
      <c r="H90" s="13">
        <f t="shared" si="6"/>
        <v>0.21878609887420461</v>
      </c>
      <c r="I90">
        <v>0.28999999999999998</v>
      </c>
      <c r="J90">
        <v>64.540000000000006</v>
      </c>
      <c r="K90">
        <f t="shared" si="7"/>
        <v>2.8075789543937035</v>
      </c>
      <c r="L90">
        <f t="shared" si="8"/>
        <v>1.8075789543937038</v>
      </c>
      <c r="M90">
        <f t="shared" si="9"/>
        <v>0</v>
      </c>
      <c r="N90" s="11">
        <f t="shared" si="10"/>
        <v>1.7281074705111401</v>
      </c>
      <c r="O90" s="11">
        <f t="shared" si="11"/>
        <v>3.3162625754527162</v>
      </c>
      <c r="P90" s="12">
        <v>3815</v>
      </c>
      <c r="Q90">
        <v>1988</v>
      </c>
      <c r="R90" s="14">
        <v>8.9</v>
      </c>
      <c r="S90" s="11">
        <v>18509.61</v>
      </c>
      <c r="T90" s="15">
        <v>180.76</v>
      </c>
      <c r="U90" t="s">
        <v>42</v>
      </c>
    </row>
    <row r="91" spans="1:21" x14ac:dyDescent="0.3">
      <c r="A91" s="10">
        <v>45817</v>
      </c>
      <c r="B91" t="s">
        <v>24</v>
      </c>
      <c r="C91" t="s">
        <v>25</v>
      </c>
      <c r="D91" s="11">
        <v>6638.81</v>
      </c>
      <c r="E91" s="11">
        <v>5029.63</v>
      </c>
      <c r="F91" s="12">
        <v>862382</v>
      </c>
      <c r="G91" s="12">
        <v>42681</v>
      </c>
      <c r="H91" s="13">
        <f t="shared" si="6"/>
        <v>4.9491988469147083E-2</v>
      </c>
      <c r="I91">
        <v>0.12</v>
      </c>
      <c r="J91">
        <v>5.83</v>
      </c>
      <c r="K91">
        <f t="shared" si="7"/>
        <v>4.8002377908514138</v>
      </c>
      <c r="L91">
        <f t="shared" si="8"/>
        <v>3.8002377908514138</v>
      </c>
      <c r="M91">
        <f t="shared" si="9"/>
        <v>0</v>
      </c>
      <c r="N91" s="11">
        <f t="shared" si="10"/>
        <v>7.4183333333333339</v>
      </c>
      <c r="O91" s="11">
        <f t="shared" si="11"/>
        <v>7.6788244274809161</v>
      </c>
      <c r="P91" s="12">
        <v>678</v>
      </c>
      <c r="Q91">
        <v>655</v>
      </c>
      <c r="R91" s="14">
        <v>1.53</v>
      </c>
      <c r="S91" s="11">
        <v>24143.42</v>
      </c>
      <c r="T91" s="15">
        <v>380.02</v>
      </c>
      <c r="U91" t="s">
        <v>42</v>
      </c>
    </row>
    <row r="92" spans="1:21" x14ac:dyDescent="0.3">
      <c r="A92" s="10">
        <v>45817</v>
      </c>
      <c r="B92" t="s">
        <v>26</v>
      </c>
      <c r="C92" t="s">
        <v>36</v>
      </c>
      <c r="D92" s="11">
        <v>8221.1299999999992</v>
      </c>
      <c r="E92" s="11">
        <v>6807.29</v>
      </c>
      <c r="F92" s="12">
        <v>1258751</v>
      </c>
      <c r="G92" s="12">
        <v>28184</v>
      </c>
      <c r="H92" s="13">
        <f t="shared" si="6"/>
        <v>2.2390448945025666E-2</v>
      </c>
      <c r="I92">
        <v>0.24</v>
      </c>
      <c r="J92">
        <v>5.41</v>
      </c>
      <c r="K92">
        <f t="shared" si="7"/>
        <v>2.0788184431690144</v>
      </c>
      <c r="L92">
        <f t="shared" si="8"/>
        <v>1.0788184431690144</v>
      </c>
      <c r="M92">
        <f t="shared" si="9"/>
        <v>0</v>
      </c>
      <c r="N92" s="11">
        <f t="shared" si="10"/>
        <v>2.4028556300741264</v>
      </c>
      <c r="O92" s="11">
        <f t="shared" si="11"/>
        <v>3.7218644067796611</v>
      </c>
      <c r="P92" s="12">
        <v>2833</v>
      </c>
      <c r="Q92">
        <v>1829</v>
      </c>
      <c r="R92" s="14">
        <v>6.49</v>
      </c>
      <c r="S92" s="11">
        <v>14151.12</v>
      </c>
      <c r="T92" s="15">
        <v>107.88</v>
      </c>
      <c r="U92" t="s">
        <v>42</v>
      </c>
    </row>
    <row r="93" spans="1:21" x14ac:dyDescent="0.3">
      <c r="A93" s="10">
        <v>45817</v>
      </c>
      <c r="B93" t="s">
        <v>28</v>
      </c>
      <c r="C93" t="s">
        <v>31</v>
      </c>
      <c r="D93" s="11">
        <v>11863.74</v>
      </c>
      <c r="E93" s="11">
        <v>10755.57</v>
      </c>
      <c r="F93" s="12">
        <v>1133652</v>
      </c>
      <c r="G93" s="12">
        <v>49982</v>
      </c>
      <c r="H93" s="13">
        <f t="shared" si="6"/>
        <v>4.4089367813050215E-2</v>
      </c>
      <c r="I93">
        <v>0.22</v>
      </c>
      <c r="J93">
        <v>9.49</v>
      </c>
      <c r="K93">
        <f t="shared" si="7"/>
        <v>4.4565197381449799</v>
      </c>
      <c r="L93">
        <f t="shared" si="8"/>
        <v>3.4565197381449804</v>
      </c>
      <c r="M93">
        <f t="shared" si="9"/>
        <v>0</v>
      </c>
      <c r="N93" s="11">
        <f t="shared" si="10"/>
        <v>11.333582718651211</v>
      </c>
      <c r="O93" s="11">
        <f t="shared" si="11"/>
        <v>13.377574626865671</v>
      </c>
      <c r="P93" s="12">
        <v>949</v>
      </c>
      <c r="Q93">
        <v>804</v>
      </c>
      <c r="R93" s="14">
        <v>1.61</v>
      </c>
      <c r="S93" s="11">
        <v>47932.41</v>
      </c>
      <c r="T93" s="15">
        <v>345.65</v>
      </c>
      <c r="U93" t="s">
        <v>42</v>
      </c>
    </row>
    <row r="94" spans="1:21" x14ac:dyDescent="0.3">
      <c r="A94" s="10">
        <v>45824</v>
      </c>
      <c r="B94" t="s">
        <v>21</v>
      </c>
      <c r="C94" t="s">
        <v>32</v>
      </c>
      <c r="D94" s="11">
        <v>6093.09</v>
      </c>
      <c r="E94" s="11">
        <v>5677.67</v>
      </c>
      <c r="F94" s="12">
        <v>966180</v>
      </c>
      <c r="G94" s="12">
        <v>47115</v>
      </c>
      <c r="H94" s="13">
        <f t="shared" si="6"/>
        <v>4.8764205427560083E-2</v>
      </c>
      <c r="I94">
        <v>0.12</v>
      </c>
      <c r="J94">
        <v>5.88</v>
      </c>
      <c r="K94">
        <f t="shared" si="7"/>
        <v>3.6016024178932553</v>
      </c>
      <c r="L94">
        <f t="shared" si="8"/>
        <v>2.6016024178932553</v>
      </c>
      <c r="M94">
        <f t="shared" si="9"/>
        <v>0</v>
      </c>
      <c r="N94" s="11">
        <f t="shared" si="10"/>
        <v>2.6334276437847866</v>
      </c>
      <c r="O94" s="11">
        <f t="shared" si="11"/>
        <v>3.1008574549426542</v>
      </c>
      <c r="P94" s="12">
        <v>2156</v>
      </c>
      <c r="Q94">
        <v>1831</v>
      </c>
      <c r="R94" s="14">
        <v>3.89</v>
      </c>
      <c r="S94" s="11">
        <v>20448.71</v>
      </c>
      <c r="T94" s="15">
        <v>260.16000000000003</v>
      </c>
      <c r="U94" t="s">
        <v>42</v>
      </c>
    </row>
    <row r="95" spans="1:21" x14ac:dyDescent="0.3">
      <c r="A95" s="10">
        <v>45824</v>
      </c>
      <c r="B95" t="s">
        <v>24</v>
      </c>
      <c r="C95" t="s">
        <v>33</v>
      </c>
      <c r="D95" s="11">
        <v>9756.2000000000007</v>
      </c>
      <c r="E95" s="11">
        <v>8300.8700000000008</v>
      </c>
      <c r="F95" s="12">
        <v>679892</v>
      </c>
      <c r="G95" s="12">
        <v>21075</v>
      </c>
      <c r="H95" s="13">
        <f t="shared" si="6"/>
        <v>3.0997570202326252E-2</v>
      </c>
      <c r="I95">
        <v>0.39</v>
      </c>
      <c r="J95">
        <v>12.21</v>
      </c>
      <c r="K95">
        <f t="shared" si="7"/>
        <v>4.2677201305405337</v>
      </c>
      <c r="L95">
        <f t="shared" si="8"/>
        <v>3.2677201305405332</v>
      </c>
      <c r="M95">
        <f t="shared" si="9"/>
        <v>0</v>
      </c>
      <c r="N95" s="11">
        <f t="shared" si="10"/>
        <v>9.3689277652370215</v>
      </c>
      <c r="O95" s="11">
        <f t="shared" si="11"/>
        <v>11.943697841726619</v>
      </c>
      <c r="P95" s="12">
        <v>886</v>
      </c>
      <c r="Q95">
        <v>695</v>
      </c>
      <c r="R95" s="14">
        <v>3.3</v>
      </c>
      <c r="S95" s="11">
        <v>35425.79</v>
      </c>
      <c r="T95" s="15">
        <v>326.77</v>
      </c>
      <c r="U95" t="s">
        <v>42</v>
      </c>
    </row>
    <row r="96" spans="1:21" x14ac:dyDescent="0.3">
      <c r="A96" s="10">
        <v>45824</v>
      </c>
      <c r="B96" t="s">
        <v>26</v>
      </c>
      <c r="C96" t="s">
        <v>36</v>
      </c>
      <c r="D96" s="11">
        <v>3017.07</v>
      </c>
      <c r="E96" s="11">
        <v>2781.15</v>
      </c>
      <c r="F96" s="12">
        <v>1296746</v>
      </c>
      <c r="G96" s="12">
        <v>51119</v>
      </c>
      <c r="H96" s="13">
        <f t="shared" si="6"/>
        <v>3.9420981441238297E-2</v>
      </c>
      <c r="I96">
        <v>0.05</v>
      </c>
      <c r="J96">
        <v>2.14</v>
      </c>
      <c r="K96">
        <f t="shared" si="7"/>
        <v>1.5295830861334339</v>
      </c>
      <c r="L96">
        <f t="shared" si="8"/>
        <v>0.52958308613343397</v>
      </c>
      <c r="M96">
        <f t="shared" si="9"/>
        <v>0</v>
      </c>
      <c r="N96" s="11">
        <f t="shared" si="10"/>
        <v>1.6978937728937729</v>
      </c>
      <c r="O96" s="11">
        <f t="shared" si="11"/>
        <v>2.1476061776061779</v>
      </c>
      <c r="P96" s="12">
        <v>1638</v>
      </c>
      <c r="Q96">
        <v>1295</v>
      </c>
      <c r="R96" s="14">
        <v>2.5299999999999998</v>
      </c>
      <c r="S96" s="11">
        <v>4254</v>
      </c>
      <c r="T96" s="15">
        <v>52.96</v>
      </c>
      <c r="U96" t="s">
        <v>42</v>
      </c>
    </row>
    <row r="97" spans="1:21" x14ac:dyDescent="0.3">
      <c r="A97" s="10">
        <v>45824</v>
      </c>
      <c r="B97" t="s">
        <v>28</v>
      </c>
      <c r="C97" t="s">
        <v>29</v>
      </c>
      <c r="D97" s="11">
        <v>3487.56</v>
      </c>
      <c r="E97" s="11">
        <v>3186.2</v>
      </c>
      <c r="F97" s="12">
        <v>545756</v>
      </c>
      <c r="G97" s="12">
        <v>30345</v>
      </c>
      <c r="H97" s="13">
        <f t="shared" si="6"/>
        <v>5.5601770754696238E-2</v>
      </c>
      <c r="I97">
        <v>0.1</v>
      </c>
      <c r="J97">
        <v>5.84</v>
      </c>
      <c r="K97">
        <f t="shared" si="7"/>
        <v>2.7364352520243553</v>
      </c>
      <c r="L97">
        <f t="shared" si="8"/>
        <v>1.7364352520243551</v>
      </c>
      <c r="M97">
        <f t="shared" si="9"/>
        <v>0</v>
      </c>
      <c r="N97" s="11">
        <f t="shared" si="10"/>
        <v>1.1735543278084715</v>
      </c>
      <c r="O97" s="11">
        <f t="shared" si="11"/>
        <v>1.425592841163311</v>
      </c>
      <c r="P97" s="12">
        <v>2715</v>
      </c>
      <c r="Q97">
        <v>2235</v>
      </c>
      <c r="R97" s="14">
        <v>7.37</v>
      </c>
      <c r="S97" s="11">
        <v>8718.83</v>
      </c>
      <c r="T97" s="15">
        <v>173.64</v>
      </c>
      <c r="U97" t="s">
        <v>42</v>
      </c>
    </row>
    <row r="98" spans="1:21" x14ac:dyDescent="0.3">
      <c r="A98" s="10">
        <v>45831</v>
      </c>
      <c r="B98" t="s">
        <v>21</v>
      </c>
      <c r="C98" t="s">
        <v>22</v>
      </c>
      <c r="D98" s="11">
        <v>7490.86</v>
      </c>
      <c r="E98" s="11">
        <v>7089.21</v>
      </c>
      <c r="F98" s="12">
        <v>1449850</v>
      </c>
      <c r="G98" s="12">
        <v>55577</v>
      </c>
      <c r="H98" s="13">
        <f t="shared" si="6"/>
        <v>3.8332930992861329E-2</v>
      </c>
      <c r="I98">
        <v>0.13</v>
      </c>
      <c r="J98">
        <v>4.8899999999999997</v>
      </c>
      <c r="K98">
        <f t="shared" si="7"/>
        <v>1.3409815762264061</v>
      </c>
      <c r="L98">
        <f t="shared" si="8"/>
        <v>0.34098157622640601</v>
      </c>
      <c r="M98">
        <f t="shared" si="9"/>
        <v>0</v>
      </c>
      <c r="N98" s="11">
        <f t="shared" si="10"/>
        <v>1.951875</v>
      </c>
      <c r="O98" s="11">
        <f t="shared" si="11"/>
        <v>1.9963981976907914</v>
      </c>
      <c r="P98" s="12">
        <v>3632</v>
      </c>
      <c r="Q98">
        <v>3551</v>
      </c>
      <c r="R98" s="14">
        <v>6.39</v>
      </c>
      <c r="S98" s="11">
        <v>9506.5</v>
      </c>
      <c r="T98" s="15">
        <v>34.1</v>
      </c>
      <c r="U98" t="s">
        <v>42</v>
      </c>
    </row>
    <row r="99" spans="1:21" x14ac:dyDescent="0.3">
      <c r="A99" s="10">
        <v>45831</v>
      </c>
      <c r="B99" t="s">
        <v>24</v>
      </c>
      <c r="C99" t="s">
        <v>33</v>
      </c>
      <c r="D99" s="11">
        <v>7908.33</v>
      </c>
      <c r="E99" s="11">
        <v>6387.86</v>
      </c>
      <c r="F99" s="12">
        <v>436174</v>
      </c>
      <c r="G99" s="12">
        <v>50228</v>
      </c>
      <c r="H99" s="13">
        <f t="shared" si="6"/>
        <v>0.11515587815871647</v>
      </c>
      <c r="I99">
        <v>0.13</v>
      </c>
      <c r="J99">
        <v>14.65</v>
      </c>
      <c r="K99">
        <f t="shared" si="7"/>
        <v>2.8461112172151553</v>
      </c>
      <c r="L99">
        <f t="shared" si="8"/>
        <v>1.8461112172151553</v>
      </c>
      <c r="M99">
        <f t="shared" si="9"/>
        <v>0</v>
      </c>
      <c r="N99" s="11">
        <f t="shared" si="10"/>
        <v>4.9327104247104243</v>
      </c>
      <c r="O99" s="11">
        <f t="shared" si="11"/>
        <v>14.718571428571428</v>
      </c>
      <c r="P99" s="12">
        <v>1295</v>
      </c>
      <c r="Q99">
        <v>434</v>
      </c>
      <c r="R99" s="14">
        <v>0.86</v>
      </c>
      <c r="S99" s="11">
        <v>18180.560000000001</v>
      </c>
      <c r="T99" s="15">
        <v>184.61</v>
      </c>
      <c r="U99" t="s">
        <v>42</v>
      </c>
    </row>
    <row r="100" spans="1:21" x14ac:dyDescent="0.3">
      <c r="A100" s="10">
        <v>45831</v>
      </c>
      <c r="B100" t="s">
        <v>26</v>
      </c>
      <c r="C100" t="s">
        <v>27</v>
      </c>
      <c r="D100" s="11">
        <v>5285.48</v>
      </c>
      <c r="E100" s="11">
        <v>4341.72</v>
      </c>
      <c r="F100" s="12">
        <v>1492972</v>
      </c>
      <c r="G100" s="12">
        <v>46979</v>
      </c>
      <c r="H100" s="13">
        <f t="shared" si="6"/>
        <v>3.1466765619181068E-2</v>
      </c>
      <c r="I100">
        <v>0.09</v>
      </c>
      <c r="J100">
        <v>2.91</v>
      </c>
      <c r="K100">
        <f t="shared" si="7"/>
        <v>2.1918525377039511</v>
      </c>
      <c r="L100">
        <f t="shared" si="8"/>
        <v>1.1918525377039513</v>
      </c>
      <c r="M100">
        <f t="shared" si="9"/>
        <v>0</v>
      </c>
      <c r="N100" s="11">
        <f t="shared" si="10"/>
        <v>1.127133956386293</v>
      </c>
      <c r="O100" s="11">
        <f t="shared" si="11"/>
        <v>1.1534856535600426</v>
      </c>
      <c r="P100" s="12">
        <v>3852</v>
      </c>
      <c r="Q100">
        <v>3764</v>
      </c>
      <c r="R100" s="14">
        <v>8.01</v>
      </c>
      <c r="S100" s="11">
        <v>9516.41</v>
      </c>
      <c r="T100" s="15">
        <v>119.19</v>
      </c>
      <c r="U100" t="s">
        <v>42</v>
      </c>
    </row>
    <row r="101" spans="1:21" x14ac:dyDescent="0.3">
      <c r="A101" s="10">
        <v>45831</v>
      </c>
      <c r="B101" t="s">
        <v>28</v>
      </c>
      <c r="C101" t="s">
        <v>31</v>
      </c>
      <c r="D101" s="11">
        <v>5737.78</v>
      </c>
      <c r="E101" s="11">
        <v>5295.34</v>
      </c>
      <c r="F101" s="12">
        <v>1123012</v>
      </c>
      <c r="G101" s="12">
        <v>47097</v>
      </c>
      <c r="H101" s="13">
        <f t="shared" si="6"/>
        <v>4.1938109298921118E-2</v>
      </c>
      <c r="I101">
        <v>0.11</v>
      </c>
      <c r="J101">
        <v>4.72</v>
      </c>
      <c r="K101">
        <f t="shared" si="7"/>
        <v>1.4388518961955228</v>
      </c>
      <c r="L101">
        <f t="shared" si="8"/>
        <v>0.43885189619552284</v>
      </c>
      <c r="M101">
        <f t="shared" si="9"/>
        <v>0</v>
      </c>
      <c r="N101" s="11">
        <f t="shared" si="10"/>
        <v>1.5384485764090645</v>
      </c>
      <c r="O101" s="11">
        <f t="shared" si="11"/>
        <v>1.7098288666451404</v>
      </c>
      <c r="P101" s="12">
        <v>3442</v>
      </c>
      <c r="Q101">
        <v>3097</v>
      </c>
      <c r="R101" s="14">
        <v>6.58</v>
      </c>
      <c r="S101" s="11">
        <v>7619.21</v>
      </c>
      <c r="T101" s="15">
        <v>43.89</v>
      </c>
      <c r="U101" t="s">
        <v>42</v>
      </c>
    </row>
    <row r="102" spans="1:21" x14ac:dyDescent="0.3">
      <c r="A102" s="10">
        <v>45838</v>
      </c>
      <c r="B102" t="s">
        <v>21</v>
      </c>
      <c r="C102" t="s">
        <v>32</v>
      </c>
      <c r="D102" s="11">
        <v>10844.53</v>
      </c>
      <c r="E102" s="11">
        <v>9895.16</v>
      </c>
      <c r="F102" s="12">
        <v>619548</v>
      </c>
      <c r="G102" s="12">
        <v>49186</v>
      </c>
      <c r="H102" s="13">
        <f t="shared" si="6"/>
        <v>7.9390136034657527E-2</v>
      </c>
      <c r="I102">
        <v>0.2</v>
      </c>
      <c r="J102">
        <v>15.97</v>
      </c>
      <c r="K102">
        <f t="shared" si="7"/>
        <v>1.3928274024876808</v>
      </c>
      <c r="L102">
        <f t="shared" si="8"/>
        <v>0.39282740248768089</v>
      </c>
      <c r="M102">
        <f t="shared" si="9"/>
        <v>0</v>
      </c>
      <c r="N102" s="11">
        <f t="shared" si="10"/>
        <v>14.237640287769784</v>
      </c>
      <c r="O102" s="11">
        <f t="shared" si="11"/>
        <v>32.443147540983603</v>
      </c>
      <c r="P102" s="12">
        <v>695</v>
      </c>
      <c r="Q102">
        <v>305</v>
      </c>
      <c r="R102" s="14">
        <v>0.62</v>
      </c>
      <c r="S102" s="11">
        <v>13782.25</v>
      </c>
      <c r="T102" s="15">
        <v>39.28</v>
      </c>
      <c r="U102" t="s">
        <v>42</v>
      </c>
    </row>
    <row r="103" spans="1:21" x14ac:dyDescent="0.3">
      <c r="A103" s="10">
        <v>45838</v>
      </c>
      <c r="B103" t="s">
        <v>24</v>
      </c>
      <c r="C103" t="s">
        <v>25</v>
      </c>
      <c r="D103" s="11">
        <v>11310.04</v>
      </c>
      <c r="E103" s="11">
        <v>9535.24</v>
      </c>
      <c r="F103" s="12">
        <v>373073</v>
      </c>
      <c r="G103" s="12">
        <v>17748</v>
      </c>
      <c r="H103" s="13">
        <f t="shared" si="6"/>
        <v>4.7572459009362779E-2</v>
      </c>
      <c r="I103">
        <v>0.54</v>
      </c>
      <c r="J103">
        <v>25.56</v>
      </c>
      <c r="K103">
        <f t="shared" si="7"/>
        <v>4.8099103955432696</v>
      </c>
      <c r="L103">
        <f t="shared" si="8"/>
        <v>3.8099103955432696</v>
      </c>
      <c r="M103">
        <f t="shared" si="9"/>
        <v>0</v>
      </c>
      <c r="N103" s="11">
        <f t="shared" si="10"/>
        <v>31.890434782608693</v>
      </c>
      <c r="O103" s="11">
        <f t="shared" si="11"/>
        <v>46.063961352657003</v>
      </c>
      <c r="P103" s="12">
        <v>299</v>
      </c>
      <c r="Q103">
        <v>207</v>
      </c>
      <c r="R103" s="14">
        <v>1.17</v>
      </c>
      <c r="S103" s="11">
        <v>45863.65</v>
      </c>
      <c r="T103" s="15">
        <v>380.99</v>
      </c>
      <c r="U103" t="s">
        <v>42</v>
      </c>
    </row>
    <row r="104" spans="1:21" x14ac:dyDescent="0.3">
      <c r="A104" s="10">
        <v>45838</v>
      </c>
      <c r="B104" t="s">
        <v>26</v>
      </c>
      <c r="C104" t="s">
        <v>27</v>
      </c>
      <c r="D104" s="11">
        <v>7110.85</v>
      </c>
      <c r="E104" s="11">
        <v>6797.4</v>
      </c>
      <c r="F104" s="12">
        <v>870435</v>
      </c>
      <c r="G104" s="12">
        <v>55985</v>
      </c>
      <c r="H104" s="13">
        <f t="shared" si="6"/>
        <v>6.431841550489123E-2</v>
      </c>
      <c r="I104">
        <v>0.12</v>
      </c>
      <c r="J104">
        <v>7.81</v>
      </c>
      <c r="K104">
        <f t="shared" si="7"/>
        <v>4.9104260452525965</v>
      </c>
      <c r="L104">
        <f t="shared" si="8"/>
        <v>3.9104260452525961</v>
      </c>
      <c r="M104">
        <f t="shared" si="9"/>
        <v>0</v>
      </c>
      <c r="N104" s="11">
        <f t="shared" si="10"/>
        <v>11.760207612456746</v>
      </c>
      <c r="O104" s="11">
        <f t="shared" si="11"/>
        <v>61.237837837837837</v>
      </c>
      <c r="P104" s="12">
        <v>578</v>
      </c>
      <c r="Q104">
        <v>111</v>
      </c>
      <c r="R104" s="14">
        <v>0.2</v>
      </c>
      <c r="S104" s="11">
        <v>33378.129999999997</v>
      </c>
      <c r="T104" s="15">
        <v>391.04</v>
      </c>
      <c r="U104" t="s">
        <v>42</v>
      </c>
    </row>
    <row r="105" spans="1:21" x14ac:dyDescent="0.3">
      <c r="A105" s="10">
        <v>45838</v>
      </c>
      <c r="B105" t="s">
        <v>28</v>
      </c>
      <c r="C105" t="s">
        <v>31</v>
      </c>
      <c r="D105" s="11">
        <v>3778.73</v>
      </c>
      <c r="E105" s="11">
        <v>2956.16</v>
      </c>
      <c r="F105" s="12">
        <v>1385883</v>
      </c>
      <c r="G105" s="12">
        <v>23581</v>
      </c>
      <c r="H105" s="13">
        <f t="shared" si="6"/>
        <v>1.7015144857105542E-2</v>
      </c>
      <c r="I105">
        <v>0.13</v>
      </c>
      <c r="J105">
        <v>2.13</v>
      </c>
      <c r="K105">
        <f t="shared" si="7"/>
        <v>4.9343506440788047</v>
      </c>
      <c r="L105">
        <f t="shared" si="8"/>
        <v>3.9343506440788052</v>
      </c>
      <c r="M105">
        <f t="shared" si="9"/>
        <v>0</v>
      </c>
      <c r="N105" s="11">
        <f t="shared" si="10"/>
        <v>26.874181818181818</v>
      </c>
      <c r="O105" s="11">
        <f t="shared" si="11"/>
        <v>42.23085714285714</v>
      </c>
      <c r="P105" s="12">
        <v>110</v>
      </c>
      <c r="Q105">
        <v>70</v>
      </c>
      <c r="R105" s="14">
        <v>0.3</v>
      </c>
      <c r="S105" s="11">
        <v>14586.73</v>
      </c>
      <c r="T105" s="15">
        <v>393.44</v>
      </c>
      <c r="U105" t="s">
        <v>42</v>
      </c>
    </row>
    <row r="106" spans="1:21" x14ac:dyDescent="0.3">
      <c r="A106" s="10">
        <v>45845</v>
      </c>
      <c r="B106" t="s">
        <v>21</v>
      </c>
      <c r="C106" t="s">
        <v>37</v>
      </c>
      <c r="D106" s="11">
        <v>7870.21</v>
      </c>
      <c r="E106" s="11">
        <v>6944.86</v>
      </c>
      <c r="F106" s="12">
        <v>114197</v>
      </c>
      <c r="G106" s="12">
        <v>8006</v>
      </c>
      <c r="H106" s="13">
        <f t="shared" si="6"/>
        <v>7.0106920497035818E-2</v>
      </c>
      <c r="I106">
        <v>0.87</v>
      </c>
      <c r="J106">
        <v>60.81</v>
      </c>
      <c r="K106">
        <f t="shared" si="7"/>
        <v>2.897718600518945</v>
      </c>
      <c r="L106">
        <f t="shared" si="8"/>
        <v>1.897718600518945</v>
      </c>
      <c r="M106">
        <f t="shared" si="9"/>
        <v>0</v>
      </c>
      <c r="N106" s="11">
        <f t="shared" si="10"/>
        <v>16.264309133489462</v>
      </c>
      <c r="O106" s="11">
        <f t="shared" si="11"/>
        <v>18.871902173913043</v>
      </c>
      <c r="P106" s="12">
        <v>427</v>
      </c>
      <c r="Q106">
        <v>368</v>
      </c>
      <c r="R106" s="14">
        <v>4.5999999999999996</v>
      </c>
      <c r="S106" s="11">
        <v>20124.25</v>
      </c>
      <c r="T106" s="15">
        <v>189.77</v>
      </c>
      <c r="U106" t="s">
        <v>43</v>
      </c>
    </row>
    <row r="107" spans="1:21" x14ac:dyDescent="0.3">
      <c r="A107" s="10">
        <v>45845</v>
      </c>
      <c r="B107" t="s">
        <v>24</v>
      </c>
      <c r="C107" t="s">
        <v>33</v>
      </c>
      <c r="D107" s="11">
        <v>6197.93</v>
      </c>
      <c r="E107" s="11">
        <v>5895.29</v>
      </c>
      <c r="F107" s="12">
        <v>1251327</v>
      </c>
      <c r="G107" s="12">
        <v>58466</v>
      </c>
      <c r="H107" s="13">
        <f t="shared" si="6"/>
        <v>4.6723198652310706E-2</v>
      </c>
      <c r="I107">
        <v>0.1</v>
      </c>
      <c r="J107">
        <v>4.71</v>
      </c>
      <c r="K107">
        <f t="shared" si="7"/>
        <v>2.793726856524446</v>
      </c>
      <c r="L107">
        <f t="shared" si="8"/>
        <v>1.793726856524446</v>
      </c>
      <c r="M107">
        <f t="shared" si="9"/>
        <v>0</v>
      </c>
      <c r="N107" s="11">
        <f t="shared" si="10"/>
        <v>1.9677202937249667</v>
      </c>
      <c r="O107" s="11">
        <f t="shared" si="11"/>
        <v>3.5153786523553965</v>
      </c>
      <c r="P107" s="12">
        <v>2996</v>
      </c>
      <c r="Q107">
        <v>1677</v>
      </c>
      <c r="R107" s="14">
        <v>2.87</v>
      </c>
      <c r="S107" s="11">
        <v>16469.830000000002</v>
      </c>
      <c r="T107" s="15">
        <v>179.37</v>
      </c>
      <c r="U107" t="s">
        <v>43</v>
      </c>
    </row>
    <row r="108" spans="1:21" x14ac:dyDescent="0.3">
      <c r="A108" s="10">
        <v>45845</v>
      </c>
      <c r="B108" t="s">
        <v>26</v>
      </c>
      <c r="C108" t="s">
        <v>36</v>
      </c>
      <c r="D108" s="11">
        <v>5432.53</v>
      </c>
      <c r="E108" s="11">
        <v>4744.62</v>
      </c>
      <c r="F108" s="12">
        <v>1124349</v>
      </c>
      <c r="G108" s="12">
        <v>51853</v>
      </c>
      <c r="H108" s="13">
        <f t="shared" si="6"/>
        <v>4.6118242645299637E-2</v>
      </c>
      <c r="I108">
        <v>0.09</v>
      </c>
      <c r="J108">
        <v>4.22</v>
      </c>
      <c r="K108">
        <f t="shared" si="7"/>
        <v>2.2843325703639072</v>
      </c>
      <c r="L108">
        <f t="shared" si="8"/>
        <v>1.2843325703639072</v>
      </c>
      <c r="M108">
        <f t="shared" si="9"/>
        <v>0</v>
      </c>
      <c r="N108" s="11">
        <f t="shared" si="10"/>
        <v>1.7297192854538825</v>
      </c>
      <c r="O108" s="11">
        <f t="shared" si="11"/>
        <v>30.220509554140126</v>
      </c>
      <c r="P108" s="12">
        <v>2743</v>
      </c>
      <c r="Q108">
        <v>157</v>
      </c>
      <c r="R108" s="14">
        <v>0.3</v>
      </c>
      <c r="S108" s="11">
        <v>10838.29</v>
      </c>
      <c r="T108" s="15">
        <v>128.43</v>
      </c>
      <c r="U108" t="s">
        <v>43</v>
      </c>
    </row>
    <row r="109" spans="1:21" x14ac:dyDescent="0.3">
      <c r="A109" s="10">
        <v>45845</v>
      </c>
      <c r="B109" t="s">
        <v>28</v>
      </c>
      <c r="C109" t="s">
        <v>35</v>
      </c>
      <c r="D109" s="11">
        <v>8810.73</v>
      </c>
      <c r="E109" s="11">
        <v>8020.1</v>
      </c>
      <c r="F109" s="12">
        <v>1088139</v>
      </c>
      <c r="G109" s="12">
        <v>38719</v>
      </c>
      <c r="H109" s="13">
        <f t="shared" si="6"/>
        <v>3.5582770215937483E-2</v>
      </c>
      <c r="I109">
        <v>0.21</v>
      </c>
      <c r="J109">
        <v>7.37</v>
      </c>
      <c r="K109">
        <f t="shared" si="7"/>
        <v>1.5826934826249048</v>
      </c>
      <c r="L109">
        <f t="shared" si="8"/>
        <v>0.58269348262490495</v>
      </c>
      <c r="M109">
        <f t="shared" si="9"/>
        <v>0</v>
      </c>
      <c r="N109" s="11">
        <f t="shared" si="10"/>
        <v>2.7447296372347707</v>
      </c>
      <c r="O109" s="11">
        <f t="shared" si="11"/>
        <v>2.7588923288613691</v>
      </c>
      <c r="P109" s="12">
        <v>2922</v>
      </c>
      <c r="Q109">
        <v>2907</v>
      </c>
      <c r="R109" s="14">
        <v>7.51</v>
      </c>
      <c r="S109" s="11">
        <v>12693.36</v>
      </c>
      <c r="T109" s="15">
        <v>58.27</v>
      </c>
      <c r="U109" t="s">
        <v>43</v>
      </c>
    </row>
    <row r="110" spans="1:21" x14ac:dyDescent="0.3">
      <c r="A110" s="10">
        <v>45852</v>
      </c>
      <c r="B110" t="s">
        <v>21</v>
      </c>
      <c r="C110" t="s">
        <v>32</v>
      </c>
      <c r="D110" s="11">
        <v>4597.8500000000004</v>
      </c>
      <c r="E110" s="11">
        <v>4567.46</v>
      </c>
      <c r="F110" s="12">
        <v>993400</v>
      </c>
      <c r="G110" s="12">
        <v>55969</v>
      </c>
      <c r="H110" s="13">
        <f t="shared" si="6"/>
        <v>5.6340849607408899E-2</v>
      </c>
      <c r="I110">
        <v>0.08</v>
      </c>
      <c r="J110">
        <v>4.5999999999999996</v>
      </c>
      <c r="K110">
        <f t="shared" si="7"/>
        <v>2.1225429450942097</v>
      </c>
      <c r="L110">
        <f t="shared" si="8"/>
        <v>1.1225429450942097</v>
      </c>
      <c r="M110">
        <f t="shared" si="9"/>
        <v>0</v>
      </c>
      <c r="N110" s="11">
        <f t="shared" si="10"/>
        <v>2.4635706580366774</v>
      </c>
      <c r="O110" s="11">
        <f t="shared" si="11"/>
        <v>16.312357142857142</v>
      </c>
      <c r="P110" s="12">
        <v>1854</v>
      </c>
      <c r="Q110">
        <v>280</v>
      </c>
      <c r="R110" s="14">
        <v>0.5</v>
      </c>
      <c r="S110" s="11">
        <v>9694.6299999999992</v>
      </c>
      <c r="T110" s="15">
        <v>112.25</v>
      </c>
      <c r="U110" t="s">
        <v>43</v>
      </c>
    </row>
    <row r="111" spans="1:21" x14ac:dyDescent="0.3">
      <c r="A111" s="10">
        <v>45852</v>
      </c>
      <c r="B111" t="s">
        <v>24</v>
      </c>
      <c r="C111" t="s">
        <v>33</v>
      </c>
      <c r="D111" s="11">
        <v>9556.39</v>
      </c>
      <c r="E111" s="11">
        <v>9242.65</v>
      </c>
      <c r="F111" s="12">
        <v>853924</v>
      </c>
      <c r="G111" s="12">
        <v>45245</v>
      </c>
      <c r="H111" s="13">
        <f t="shared" si="6"/>
        <v>5.2984808952553156E-2</v>
      </c>
      <c r="I111">
        <v>0.2</v>
      </c>
      <c r="J111">
        <v>10.82</v>
      </c>
      <c r="K111">
        <f t="shared" si="7"/>
        <v>4.9864270528473984</v>
      </c>
      <c r="L111">
        <f t="shared" si="8"/>
        <v>3.986427052847398</v>
      </c>
      <c r="M111">
        <f t="shared" si="9"/>
        <v>0</v>
      </c>
      <c r="N111" s="11">
        <f t="shared" si="10"/>
        <v>5.4496757075471693</v>
      </c>
      <c r="O111" s="11">
        <f t="shared" si="11"/>
        <v>162.15175438596489</v>
      </c>
      <c r="P111" s="12">
        <v>1696</v>
      </c>
      <c r="Q111">
        <v>57</v>
      </c>
      <c r="R111" s="14">
        <v>0.13</v>
      </c>
      <c r="S111" s="11">
        <v>46087.8</v>
      </c>
      <c r="T111" s="15">
        <v>398.64</v>
      </c>
      <c r="U111" t="s">
        <v>43</v>
      </c>
    </row>
    <row r="112" spans="1:21" x14ac:dyDescent="0.3">
      <c r="A112" s="10">
        <v>45852</v>
      </c>
      <c r="B112" t="s">
        <v>26</v>
      </c>
      <c r="C112" t="s">
        <v>34</v>
      </c>
      <c r="D112" s="11">
        <v>9123.51</v>
      </c>
      <c r="E112" s="11">
        <v>7349.06</v>
      </c>
      <c r="F112" s="12">
        <v>1152570</v>
      </c>
      <c r="G112" s="12">
        <v>45869</v>
      </c>
      <c r="H112" s="13">
        <f t="shared" si="6"/>
        <v>3.9797148980105328E-2</v>
      </c>
      <c r="I112">
        <v>0.16</v>
      </c>
      <c r="J112">
        <v>6.38</v>
      </c>
      <c r="K112">
        <f t="shared" si="7"/>
        <v>4.183290107850528</v>
      </c>
      <c r="L112">
        <f t="shared" si="8"/>
        <v>3.1832901078505276</v>
      </c>
      <c r="M112">
        <f t="shared" si="9"/>
        <v>0</v>
      </c>
      <c r="N112" s="11">
        <f t="shared" si="10"/>
        <v>3.6763681840920461</v>
      </c>
      <c r="O112" s="11">
        <f t="shared" si="11"/>
        <v>4.026882191780822</v>
      </c>
      <c r="P112" s="12">
        <v>1999</v>
      </c>
      <c r="Q112">
        <v>1825</v>
      </c>
      <c r="R112" s="14">
        <v>3.98</v>
      </c>
      <c r="S112" s="11">
        <v>30743.25</v>
      </c>
      <c r="T112" s="15">
        <v>318.33</v>
      </c>
      <c r="U112" t="s">
        <v>43</v>
      </c>
    </row>
    <row r="113" spans="1:21" x14ac:dyDescent="0.3">
      <c r="A113" s="10">
        <v>45852</v>
      </c>
      <c r="B113" t="s">
        <v>28</v>
      </c>
      <c r="C113" t="s">
        <v>35</v>
      </c>
      <c r="D113" s="11">
        <v>11169.3</v>
      </c>
      <c r="E113" s="11">
        <v>8754.85</v>
      </c>
      <c r="F113" s="12">
        <v>1472923</v>
      </c>
      <c r="G113" s="12">
        <v>46560</v>
      </c>
      <c r="H113" s="13">
        <f t="shared" si="6"/>
        <v>3.1610613725225285E-2</v>
      </c>
      <c r="I113">
        <v>0.19</v>
      </c>
      <c r="J113">
        <v>5.94</v>
      </c>
      <c r="K113">
        <f t="shared" si="7"/>
        <v>4.9749967161059292</v>
      </c>
      <c r="L113">
        <f t="shared" si="8"/>
        <v>3.9749967161059296</v>
      </c>
      <c r="M113">
        <f t="shared" si="9"/>
        <v>0</v>
      </c>
      <c r="N113" s="11">
        <f t="shared" si="10"/>
        <v>10.263599062133647</v>
      </c>
      <c r="O113" s="11">
        <f t="shared" si="11"/>
        <v>20.746090047393366</v>
      </c>
      <c r="P113" s="12">
        <v>853</v>
      </c>
      <c r="Q113">
        <v>422</v>
      </c>
      <c r="R113" s="14">
        <v>0.91</v>
      </c>
      <c r="S113" s="11">
        <v>43555.35</v>
      </c>
      <c r="T113" s="15">
        <v>397.5</v>
      </c>
      <c r="U113" t="s">
        <v>43</v>
      </c>
    </row>
    <row r="114" spans="1:21" x14ac:dyDescent="0.3">
      <c r="A114" s="10">
        <v>45859</v>
      </c>
      <c r="B114" t="s">
        <v>21</v>
      </c>
      <c r="C114" t="s">
        <v>22</v>
      </c>
      <c r="D114" s="11">
        <v>4718.2</v>
      </c>
      <c r="E114" s="11">
        <v>4258.37</v>
      </c>
      <c r="F114" s="12">
        <v>516492</v>
      </c>
      <c r="G114" s="12">
        <v>56678</v>
      </c>
      <c r="H114" s="13">
        <f t="shared" si="6"/>
        <v>0.10973645283954059</v>
      </c>
      <c r="I114">
        <v>0.08</v>
      </c>
      <c r="J114">
        <v>8.24</v>
      </c>
      <c r="K114">
        <f t="shared" si="7"/>
        <v>3.6347287812003186</v>
      </c>
      <c r="L114">
        <f t="shared" si="8"/>
        <v>2.6347287812003191</v>
      </c>
      <c r="M114">
        <f t="shared" si="9"/>
        <v>0</v>
      </c>
      <c r="N114" s="11">
        <f t="shared" si="10"/>
        <v>7.7004882459312833</v>
      </c>
      <c r="O114" s="11">
        <f t="shared" si="11"/>
        <v>8.4491468253968254</v>
      </c>
      <c r="P114" s="12">
        <v>553</v>
      </c>
      <c r="Q114">
        <v>504</v>
      </c>
      <c r="R114" s="14">
        <v>0.89</v>
      </c>
      <c r="S114" s="11">
        <v>15478.02</v>
      </c>
      <c r="T114" s="15">
        <v>263.47000000000003</v>
      </c>
      <c r="U114" t="s">
        <v>43</v>
      </c>
    </row>
    <row r="115" spans="1:21" x14ac:dyDescent="0.3">
      <c r="A115" s="10">
        <v>45859</v>
      </c>
      <c r="B115" t="s">
        <v>24</v>
      </c>
      <c r="C115" t="s">
        <v>25</v>
      </c>
      <c r="D115" s="11">
        <v>11662.53</v>
      </c>
      <c r="E115" s="11">
        <v>8977.0400000000009</v>
      </c>
      <c r="F115" s="12">
        <v>992006</v>
      </c>
      <c r="G115" s="12">
        <v>16255</v>
      </c>
      <c r="H115" s="13">
        <f t="shared" si="6"/>
        <v>1.6385989600869351E-2</v>
      </c>
      <c r="I115">
        <v>0.55000000000000004</v>
      </c>
      <c r="J115">
        <v>9.0500000000000007</v>
      </c>
      <c r="K115">
        <f t="shared" si="7"/>
        <v>2.9352236371899867</v>
      </c>
      <c r="L115">
        <f t="shared" si="8"/>
        <v>1.9352236371899865</v>
      </c>
      <c r="M115">
        <f t="shared" si="9"/>
        <v>0</v>
      </c>
      <c r="N115" s="11">
        <f t="shared" si="10"/>
        <v>7.9442831858407086</v>
      </c>
      <c r="O115" s="11">
        <f t="shared" si="11"/>
        <v>10.536431924882629</v>
      </c>
      <c r="P115" s="12">
        <v>1130</v>
      </c>
      <c r="Q115">
        <v>852</v>
      </c>
      <c r="R115" s="14">
        <v>5.24</v>
      </c>
      <c r="S115" s="11">
        <v>26349.62</v>
      </c>
      <c r="T115" s="15">
        <v>193.52</v>
      </c>
      <c r="U115" t="s">
        <v>43</v>
      </c>
    </row>
    <row r="116" spans="1:21" x14ac:dyDescent="0.3">
      <c r="A116" s="10">
        <v>45859</v>
      </c>
      <c r="B116" t="s">
        <v>26</v>
      </c>
      <c r="C116" t="s">
        <v>34</v>
      </c>
      <c r="D116" s="11">
        <v>8928.86</v>
      </c>
      <c r="E116" s="11">
        <v>7407.29</v>
      </c>
      <c r="F116" s="12">
        <v>785956</v>
      </c>
      <c r="G116" s="12">
        <v>13802</v>
      </c>
      <c r="H116" s="13">
        <f t="shared" si="6"/>
        <v>1.7560779483838791E-2</v>
      </c>
      <c r="I116">
        <v>0.54</v>
      </c>
      <c r="J116">
        <v>9.42</v>
      </c>
      <c r="K116">
        <f t="shared" si="7"/>
        <v>4.615118349625841</v>
      </c>
      <c r="L116">
        <f t="shared" si="8"/>
        <v>3.615118349625841</v>
      </c>
      <c r="M116">
        <f t="shared" si="9"/>
        <v>0</v>
      </c>
      <c r="N116" s="11">
        <f t="shared" si="10"/>
        <v>2.1365128353042975</v>
      </c>
      <c r="O116" s="11">
        <f t="shared" si="11"/>
        <v>2.2968341085271318</v>
      </c>
      <c r="P116" s="12">
        <v>3467</v>
      </c>
      <c r="Q116">
        <v>3225</v>
      </c>
      <c r="R116" s="14">
        <v>23.37</v>
      </c>
      <c r="S116" s="11">
        <v>34185.519999999997</v>
      </c>
      <c r="T116" s="15">
        <v>361.51</v>
      </c>
      <c r="U116" t="s">
        <v>43</v>
      </c>
    </row>
    <row r="117" spans="1:21" x14ac:dyDescent="0.3">
      <c r="A117" s="10">
        <v>45859</v>
      </c>
      <c r="B117" t="s">
        <v>28</v>
      </c>
      <c r="C117" t="s">
        <v>35</v>
      </c>
      <c r="D117" s="11">
        <v>7071.25</v>
      </c>
      <c r="E117" s="11">
        <v>6065.76</v>
      </c>
      <c r="F117" s="12">
        <v>1033884</v>
      </c>
      <c r="G117" s="12">
        <v>12339</v>
      </c>
      <c r="H117" s="13">
        <f t="shared" si="6"/>
        <v>1.193460775096626E-2</v>
      </c>
      <c r="I117">
        <v>0.49</v>
      </c>
      <c r="J117">
        <v>5.87</v>
      </c>
      <c r="K117">
        <f t="shared" si="7"/>
        <v>4.0949559494605783</v>
      </c>
      <c r="L117">
        <f t="shared" si="8"/>
        <v>3.0949559494605792</v>
      </c>
      <c r="M117">
        <f t="shared" si="9"/>
        <v>0</v>
      </c>
      <c r="N117" s="11">
        <f t="shared" si="10"/>
        <v>2.1253538892782062</v>
      </c>
      <c r="O117" s="11">
        <f t="shared" si="11"/>
        <v>2.22189010989011</v>
      </c>
      <c r="P117" s="12">
        <v>2854</v>
      </c>
      <c r="Q117">
        <v>2730</v>
      </c>
      <c r="R117" s="14">
        <v>22.12</v>
      </c>
      <c r="S117" s="11">
        <v>24839.02</v>
      </c>
      <c r="T117" s="15">
        <v>309.5</v>
      </c>
      <c r="U117" t="s">
        <v>43</v>
      </c>
    </row>
    <row r="118" spans="1:21" x14ac:dyDescent="0.3">
      <c r="A118" s="10">
        <v>45866</v>
      </c>
      <c r="B118" t="s">
        <v>21</v>
      </c>
      <c r="C118" t="s">
        <v>32</v>
      </c>
      <c r="D118" s="11">
        <v>7754.49</v>
      </c>
      <c r="E118" s="11">
        <v>6628.69</v>
      </c>
      <c r="F118" s="12">
        <v>162858</v>
      </c>
      <c r="G118" s="12">
        <v>50422</v>
      </c>
      <c r="H118" s="13">
        <f t="shared" si="6"/>
        <v>0.3096071424185487</v>
      </c>
      <c r="I118">
        <v>0.13</v>
      </c>
      <c r="J118">
        <v>40.700000000000003</v>
      </c>
      <c r="K118">
        <f t="shared" si="7"/>
        <v>3.9677719127006998</v>
      </c>
      <c r="L118">
        <f t="shared" si="8"/>
        <v>2.9677719127006998</v>
      </c>
      <c r="M118">
        <f t="shared" si="9"/>
        <v>0</v>
      </c>
      <c r="N118" s="11">
        <f t="shared" si="10"/>
        <v>8.2962327909887357</v>
      </c>
      <c r="O118" s="11">
        <f t="shared" si="11"/>
        <v>14.997036199095021</v>
      </c>
      <c r="P118" s="12">
        <v>799</v>
      </c>
      <c r="Q118">
        <v>442</v>
      </c>
      <c r="R118" s="14">
        <v>0.88</v>
      </c>
      <c r="S118" s="11">
        <v>26301.13</v>
      </c>
      <c r="T118" s="15">
        <v>296.77999999999997</v>
      </c>
      <c r="U118" t="s">
        <v>43</v>
      </c>
    </row>
    <row r="119" spans="1:21" x14ac:dyDescent="0.3">
      <c r="A119" s="10">
        <v>45866</v>
      </c>
      <c r="B119" t="s">
        <v>24</v>
      </c>
      <c r="C119" t="s">
        <v>33</v>
      </c>
      <c r="D119" s="11">
        <v>7871.77</v>
      </c>
      <c r="E119" s="11">
        <v>6466.74</v>
      </c>
      <c r="F119" s="12">
        <v>834760</v>
      </c>
      <c r="G119" s="12">
        <v>51420</v>
      </c>
      <c r="H119" s="13">
        <f t="shared" si="6"/>
        <v>6.1598543293880877E-2</v>
      </c>
      <c r="I119">
        <v>0.13</v>
      </c>
      <c r="J119">
        <v>7.75</v>
      </c>
      <c r="K119">
        <f t="shared" si="7"/>
        <v>3.3671076925931769</v>
      </c>
      <c r="L119">
        <f t="shared" si="8"/>
        <v>2.3671076925931769</v>
      </c>
      <c r="M119">
        <f t="shared" si="9"/>
        <v>0</v>
      </c>
      <c r="N119" s="11">
        <f t="shared" si="10"/>
        <v>2.7262816188870151</v>
      </c>
      <c r="O119" s="11">
        <f t="shared" si="11"/>
        <v>6.8431111111111109</v>
      </c>
      <c r="P119" s="12">
        <v>2372</v>
      </c>
      <c r="Q119">
        <v>945</v>
      </c>
      <c r="R119" s="14">
        <v>1.84</v>
      </c>
      <c r="S119" s="11">
        <v>21774.21</v>
      </c>
      <c r="T119" s="15">
        <v>236.71</v>
      </c>
      <c r="U119" t="s">
        <v>43</v>
      </c>
    </row>
    <row r="120" spans="1:21" x14ac:dyDescent="0.3">
      <c r="A120" s="10">
        <v>45866</v>
      </c>
      <c r="B120" t="s">
        <v>26</v>
      </c>
      <c r="C120" t="s">
        <v>34</v>
      </c>
      <c r="D120" s="11">
        <v>5125.03</v>
      </c>
      <c r="E120" s="11">
        <v>4551.6899999999996</v>
      </c>
      <c r="F120" s="12">
        <v>758343</v>
      </c>
      <c r="G120" s="12">
        <v>48977</v>
      </c>
      <c r="H120" s="13">
        <f t="shared" si="6"/>
        <v>6.4584231673530321E-2</v>
      </c>
      <c r="I120">
        <v>0.09</v>
      </c>
      <c r="J120">
        <v>6</v>
      </c>
      <c r="K120">
        <f t="shared" si="7"/>
        <v>3.1327792534201584</v>
      </c>
      <c r="L120">
        <f t="shared" si="8"/>
        <v>2.1327792534201584</v>
      </c>
      <c r="M120">
        <f t="shared" si="9"/>
        <v>0</v>
      </c>
      <c r="N120" s="11">
        <f t="shared" si="10"/>
        <v>1.7662747380675201</v>
      </c>
      <c r="O120" s="11">
        <f t="shared" si="11"/>
        <v>23.583886010362693</v>
      </c>
      <c r="P120" s="12">
        <v>2577</v>
      </c>
      <c r="Q120">
        <v>193</v>
      </c>
      <c r="R120" s="14">
        <v>0.39</v>
      </c>
      <c r="S120" s="11">
        <v>14259.44</v>
      </c>
      <c r="T120" s="15">
        <v>213.28</v>
      </c>
      <c r="U120" t="s">
        <v>43</v>
      </c>
    </row>
    <row r="121" spans="1:21" x14ac:dyDescent="0.3">
      <c r="A121" s="10">
        <v>45866</v>
      </c>
      <c r="B121" t="s">
        <v>28</v>
      </c>
      <c r="C121" t="s">
        <v>31</v>
      </c>
      <c r="D121" s="11">
        <v>5392.43</v>
      </c>
      <c r="E121" s="11">
        <v>4380.1000000000004</v>
      </c>
      <c r="F121" s="12">
        <v>1472698</v>
      </c>
      <c r="G121" s="12">
        <v>47112</v>
      </c>
      <c r="H121" s="13">
        <f t="shared" si="6"/>
        <v>3.1990265485523847E-2</v>
      </c>
      <c r="I121">
        <v>0.09</v>
      </c>
      <c r="J121">
        <v>2.97</v>
      </c>
      <c r="K121">
        <f t="shared" si="7"/>
        <v>2.9493367731330333</v>
      </c>
      <c r="L121">
        <f t="shared" si="8"/>
        <v>1.9493367731330331</v>
      </c>
      <c r="M121">
        <f t="shared" si="9"/>
        <v>0</v>
      </c>
      <c r="N121" s="11">
        <f t="shared" si="10"/>
        <v>1.7761962692619628</v>
      </c>
      <c r="O121" s="11">
        <f t="shared" si="11"/>
        <v>2.4159404302261449</v>
      </c>
      <c r="P121" s="12">
        <v>2466</v>
      </c>
      <c r="Q121">
        <v>1813</v>
      </c>
      <c r="R121" s="14">
        <v>3.85</v>
      </c>
      <c r="S121" s="11">
        <v>12918.39</v>
      </c>
      <c r="T121" s="15">
        <v>194.93</v>
      </c>
      <c r="U121" t="s">
        <v>43</v>
      </c>
    </row>
    <row r="122" spans="1:21" x14ac:dyDescent="0.3">
      <c r="A122" s="10">
        <v>45873</v>
      </c>
      <c r="B122" t="s">
        <v>21</v>
      </c>
      <c r="C122" t="s">
        <v>32</v>
      </c>
      <c r="D122" s="11">
        <v>7902.91</v>
      </c>
      <c r="E122" s="11">
        <v>6766.47</v>
      </c>
      <c r="F122" s="12">
        <v>340248</v>
      </c>
      <c r="G122" s="12">
        <v>15486</v>
      </c>
      <c r="H122" s="13">
        <f t="shared" si="6"/>
        <v>4.5513860478239403E-2</v>
      </c>
      <c r="I122">
        <v>0.44</v>
      </c>
      <c r="J122">
        <v>19.89</v>
      </c>
      <c r="K122">
        <f t="shared" si="7"/>
        <v>2.8987670084992616</v>
      </c>
      <c r="L122">
        <f t="shared" si="8"/>
        <v>1.8987670084992614</v>
      </c>
      <c r="M122">
        <f t="shared" si="9"/>
        <v>0</v>
      </c>
      <c r="N122" s="11">
        <f t="shared" si="10"/>
        <v>8.8105078125000009</v>
      </c>
      <c r="O122" s="11">
        <f t="shared" si="11"/>
        <v>70.484062500000007</v>
      </c>
      <c r="P122" s="12">
        <v>768</v>
      </c>
      <c r="Q122">
        <v>96</v>
      </c>
      <c r="R122" s="14">
        <v>0.62</v>
      </c>
      <c r="S122" s="11">
        <v>19614.419999999998</v>
      </c>
      <c r="T122" s="15">
        <v>189.88</v>
      </c>
      <c r="U122" t="s">
        <v>44</v>
      </c>
    </row>
    <row r="123" spans="1:21" x14ac:dyDescent="0.3">
      <c r="A123" s="10">
        <v>45873</v>
      </c>
      <c r="B123" t="s">
        <v>24</v>
      </c>
      <c r="C123" t="s">
        <v>25</v>
      </c>
      <c r="D123" s="11">
        <v>7554.89</v>
      </c>
      <c r="E123" s="11">
        <v>7302.98</v>
      </c>
      <c r="F123" s="12">
        <v>1014490</v>
      </c>
      <c r="G123" s="12">
        <v>45507</v>
      </c>
      <c r="H123" s="13">
        <f t="shared" si="6"/>
        <v>4.4857021754773331E-2</v>
      </c>
      <c r="I123">
        <v>0.16</v>
      </c>
      <c r="J123">
        <v>7.2</v>
      </c>
      <c r="K123">
        <f t="shared" si="7"/>
        <v>3.6203166378656384</v>
      </c>
      <c r="L123">
        <f t="shared" si="8"/>
        <v>2.6203166378656384</v>
      </c>
      <c r="M123">
        <f t="shared" si="9"/>
        <v>0</v>
      </c>
      <c r="N123" s="11">
        <f t="shared" si="10"/>
        <v>2.6307564841498556</v>
      </c>
      <c r="O123" s="11">
        <f t="shared" si="11"/>
        <v>4.5700750938673336</v>
      </c>
      <c r="P123" s="12">
        <v>2776</v>
      </c>
      <c r="Q123">
        <v>1598</v>
      </c>
      <c r="R123" s="14">
        <v>3.51</v>
      </c>
      <c r="S123" s="11">
        <v>26439.1</v>
      </c>
      <c r="T123" s="15">
        <v>262.02999999999997</v>
      </c>
      <c r="U123" t="s">
        <v>44</v>
      </c>
    </row>
    <row r="124" spans="1:21" x14ac:dyDescent="0.3">
      <c r="A124" s="10">
        <v>45873</v>
      </c>
      <c r="B124" t="s">
        <v>26</v>
      </c>
      <c r="C124" t="s">
        <v>36</v>
      </c>
      <c r="D124" s="11">
        <v>5492.77</v>
      </c>
      <c r="E124" s="11">
        <v>4723.1400000000003</v>
      </c>
      <c r="F124" s="12">
        <v>811623</v>
      </c>
      <c r="G124" s="12">
        <v>38351</v>
      </c>
      <c r="H124" s="13">
        <f t="shared" si="6"/>
        <v>4.7252234103764924E-2</v>
      </c>
      <c r="I124">
        <v>0.12</v>
      </c>
      <c r="J124">
        <v>5.82</v>
      </c>
      <c r="K124">
        <f t="shared" si="7"/>
        <v>2.0576290349216833</v>
      </c>
      <c r="L124">
        <f t="shared" si="8"/>
        <v>1.0576290349216833</v>
      </c>
      <c r="M124">
        <f t="shared" si="9"/>
        <v>0</v>
      </c>
      <c r="N124" s="11">
        <f t="shared" si="10"/>
        <v>1.8138018433179726</v>
      </c>
      <c r="O124" s="11">
        <f t="shared" si="11"/>
        <v>1.8595039370078741</v>
      </c>
      <c r="P124" s="12">
        <v>2604</v>
      </c>
      <c r="Q124">
        <v>2540</v>
      </c>
      <c r="R124" s="14">
        <v>6.62</v>
      </c>
      <c r="S124" s="11">
        <v>9718.4699999999993</v>
      </c>
      <c r="T124" s="15">
        <v>105.76</v>
      </c>
      <c r="U124" t="s">
        <v>44</v>
      </c>
    </row>
    <row r="125" spans="1:21" x14ac:dyDescent="0.3">
      <c r="A125" s="10">
        <v>45873</v>
      </c>
      <c r="B125" t="s">
        <v>28</v>
      </c>
      <c r="C125" t="s">
        <v>29</v>
      </c>
      <c r="D125" s="11">
        <v>10640.48</v>
      </c>
      <c r="E125" s="11">
        <v>8546.43</v>
      </c>
      <c r="F125" s="12">
        <v>763322</v>
      </c>
      <c r="G125" s="12">
        <v>9801</v>
      </c>
      <c r="H125" s="13">
        <f t="shared" si="6"/>
        <v>1.2839928627761286E-2</v>
      </c>
      <c r="I125">
        <v>0.87</v>
      </c>
      <c r="J125">
        <v>11.2</v>
      </c>
      <c r="K125">
        <f t="shared" si="7"/>
        <v>2.4489242876850335</v>
      </c>
      <c r="L125">
        <f t="shared" si="8"/>
        <v>1.4489242876850335</v>
      </c>
      <c r="M125">
        <f t="shared" si="9"/>
        <v>0</v>
      </c>
      <c r="N125" s="11">
        <f t="shared" si="10"/>
        <v>3.4517084006462038</v>
      </c>
      <c r="O125" s="11">
        <f t="shared" si="11"/>
        <v>28.021081967213117</v>
      </c>
      <c r="P125" s="12">
        <v>2476</v>
      </c>
      <c r="Q125">
        <v>305</v>
      </c>
      <c r="R125" s="14">
        <v>3.11</v>
      </c>
      <c r="S125" s="11">
        <v>20929.560000000001</v>
      </c>
      <c r="T125" s="15">
        <v>144.88999999999999</v>
      </c>
      <c r="U125" t="s">
        <v>44</v>
      </c>
    </row>
    <row r="126" spans="1:21" x14ac:dyDescent="0.3">
      <c r="A126" s="10">
        <v>45880</v>
      </c>
      <c r="B126" t="s">
        <v>21</v>
      </c>
      <c r="C126" t="s">
        <v>32</v>
      </c>
      <c r="D126" s="11">
        <v>5215.17</v>
      </c>
      <c r="E126" s="11">
        <v>4487.84</v>
      </c>
      <c r="F126" s="12">
        <v>187529</v>
      </c>
      <c r="G126" s="12">
        <v>53433</v>
      </c>
      <c r="H126" s="13">
        <f t="shared" si="6"/>
        <v>0.2849319305280783</v>
      </c>
      <c r="I126">
        <v>0.08</v>
      </c>
      <c r="J126">
        <v>23.93</v>
      </c>
      <c r="K126">
        <f t="shared" si="7"/>
        <v>4.5878863774109595</v>
      </c>
      <c r="L126">
        <f t="shared" si="8"/>
        <v>3.5878863774109595</v>
      </c>
      <c r="M126">
        <f t="shared" si="9"/>
        <v>0</v>
      </c>
      <c r="N126" s="11">
        <f t="shared" si="10"/>
        <v>1.1742124542124543</v>
      </c>
      <c r="O126" s="11">
        <f t="shared" si="11"/>
        <v>1.7815958713775308</v>
      </c>
      <c r="P126" s="12">
        <v>3822</v>
      </c>
      <c r="Q126">
        <v>2519</v>
      </c>
      <c r="R126" s="14">
        <v>4.71</v>
      </c>
      <c r="S126" s="11">
        <v>20589.7</v>
      </c>
      <c r="T126" s="15">
        <v>358.79</v>
      </c>
      <c r="U126" t="s">
        <v>44</v>
      </c>
    </row>
    <row r="127" spans="1:21" x14ac:dyDescent="0.3">
      <c r="A127" s="10">
        <v>45880</v>
      </c>
      <c r="B127" t="s">
        <v>24</v>
      </c>
      <c r="C127" t="s">
        <v>30</v>
      </c>
      <c r="D127" s="11">
        <v>11190.75</v>
      </c>
      <c r="E127" s="11">
        <v>11121.74</v>
      </c>
      <c r="F127" s="12">
        <v>1000178</v>
      </c>
      <c r="G127" s="12">
        <v>28826</v>
      </c>
      <c r="H127" s="13">
        <f t="shared" si="6"/>
        <v>2.882086988516044E-2</v>
      </c>
      <c r="I127">
        <v>0.39</v>
      </c>
      <c r="J127">
        <v>11.12</v>
      </c>
      <c r="K127">
        <f t="shared" si="7"/>
        <v>2.937379402863221</v>
      </c>
      <c r="L127">
        <f t="shared" si="8"/>
        <v>1.937379402863221</v>
      </c>
      <c r="M127">
        <f t="shared" si="9"/>
        <v>0</v>
      </c>
      <c r="N127" s="11">
        <f t="shared" si="10"/>
        <v>2.7986260694514344</v>
      </c>
      <c r="O127" s="11">
        <f t="shared" si="11"/>
        <v>5.078420091324201</v>
      </c>
      <c r="P127" s="12">
        <v>3974</v>
      </c>
      <c r="Q127">
        <v>2190</v>
      </c>
      <c r="R127" s="14">
        <v>7.6</v>
      </c>
      <c r="S127" s="11">
        <v>32668.77</v>
      </c>
      <c r="T127" s="15">
        <v>193.74</v>
      </c>
      <c r="U127" t="s">
        <v>44</v>
      </c>
    </row>
    <row r="128" spans="1:21" x14ac:dyDescent="0.3">
      <c r="A128" s="10">
        <v>45880</v>
      </c>
      <c r="B128" t="s">
        <v>26</v>
      </c>
      <c r="C128" t="s">
        <v>27</v>
      </c>
      <c r="D128" s="11">
        <v>10292.780000000001</v>
      </c>
      <c r="E128" s="11">
        <v>8272.1200000000008</v>
      </c>
      <c r="F128" s="12">
        <v>253834</v>
      </c>
      <c r="G128" s="12">
        <v>11213</v>
      </c>
      <c r="H128" s="13">
        <f t="shared" si="6"/>
        <v>4.4174539265819393E-2</v>
      </c>
      <c r="I128">
        <v>0.74</v>
      </c>
      <c r="J128">
        <v>32.590000000000003</v>
      </c>
      <c r="K128">
        <f t="shared" si="7"/>
        <v>4.8745194702204513</v>
      </c>
      <c r="L128">
        <f t="shared" si="8"/>
        <v>3.8745194702204508</v>
      </c>
      <c r="M128">
        <f t="shared" si="9"/>
        <v>0</v>
      </c>
      <c r="N128" s="11">
        <f t="shared" si="10"/>
        <v>20.42498765432099</v>
      </c>
      <c r="O128" s="11">
        <f t="shared" si="11"/>
        <v>31.693946360153259</v>
      </c>
      <c r="P128" s="12">
        <v>405</v>
      </c>
      <c r="Q128">
        <v>261</v>
      </c>
      <c r="R128" s="14">
        <v>2.33</v>
      </c>
      <c r="S128" s="11">
        <v>40322.61</v>
      </c>
      <c r="T128" s="15">
        <v>387.45</v>
      </c>
      <c r="U128" t="s">
        <v>44</v>
      </c>
    </row>
    <row r="129" spans="1:21" x14ac:dyDescent="0.3">
      <c r="A129" s="10">
        <v>45880</v>
      </c>
      <c r="B129" t="s">
        <v>28</v>
      </c>
      <c r="C129" t="s">
        <v>31</v>
      </c>
      <c r="D129" s="11">
        <v>3199.27</v>
      </c>
      <c r="E129" s="11">
        <v>2705.18</v>
      </c>
      <c r="F129" s="12">
        <v>1293098</v>
      </c>
      <c r="G129" s="12">
        <v>47393</v>
      </c>
      <c r="H129" s="13">
        <f t="shared" si="6"/>
        <v>3.6650741088455785E-2</v>
      </c>
      <c r="I129">
        <v>0.06</v>
      </c>
      <c r="J129">
        <v>2.09</v>
      </c>
      <c r="K129">
        <f t="shared" si="7"/>
        <v>4.4227814784968098</v>
      </c>
      <c r="L129">
        <f t="shared" si="8"/>
        <v>3.4227814784968098</v>
      </c>
      <c r="M129">
        <f t="shared" si="9"/>
        <v>0</v>
      </c>
      <c r="N129" s="11">
        <f t="shared" si="10"/>
        <v>1.7186658195679796</v>
      </c>
      <c r="O129" s="11">
        <f t="shared" si="11"/>
        <v>9.9822140221402211</v>
      </c>
      <c r="P129" s="12">
        <v>1574</v>
      </c>
      <c r="Q129">
        <v>271</v>
      </c>
      <c r="R129" s="14">
        <v>0.56999999999999995</v>
      </c>
      <c r="S129" s="11">
        <v>11964.42</v>
      </c>
      <c r="T129" s="15">
        <v>342.28</v>
      </c>
      <c r="U129" t="s">
        <v>44</v>
      </c>
    </row>
    <row r="130" spans="1:21" x14ac:dyDescent="0.3">
      <c r="A130" s="10">
        <v>45887</v>
      </c>
      <c r="B130" t="s">
        <v>21</v>
      </c>
      <c r="C130" t="s">
        <v>37</v>
      </c>
      <c r="D130" s="11">
        <v>8569.64</v>
      </c>
      <c r="E130" s="11">
        <v>6837.45</v>
      </c>
      <c r="F130" s="12">
        <v>1231155</v>
      </c>
      <c r="G130" s="12">
        <v>37723</v>
      </c>
      <c r="H130" s="13">
        <f t="shared" ref="H130:H193" si="12">IF(F130 = 0,0,G130/F130)</f>
        <v>3.064033367041518E-2</v>
      </c>
      <c r="I130">
        <v>0.18</v>
      </c>
      <c r="J130">
        <v>5.55</v>
      </c>
      <c r="K130">
        <f t="shared" ref="K130:K193" si="13">IF(E130=0,0,S130/E130)</f>
        <v>4.7424829432025097</v>
      </c>
      <c r="L130">
        <f t="shared" ref="L130:L193" si="14">IF(E130=0,0,(S130-E130)/E130)</f>
        <v>3.7424829432025097</v>
      </c>
      <c r="M130">
        <f t="shared" ref="M130:M193" si="15">IF(T130&lt;0,1,0)</f>
        <v>0</v>
      </c>
      <c r="N130" s="11">
        <f t="shared" ref="N130:N193" si="16">IF(P130=0,0,E130/P130)</f>
        <v>3.0041520210896309</v>
      </c>
      <c r="O130" s="11">
        <f t="shared" ref="O130:O193" si="17">IF(Q130=0,0,E130/Q130)</f>
        <v>3.4938426162493612</v>
      </c>
      <c r="P130" s="12">
        <v>2276</v>
      </c>
      <c r="Q130">
        <v>1957</v>
      </c>
      <c r="R130" s="14">
        <v>5.19</v>
      </c>
      <c r="S130" s="11">
        <v>32426.49</v>
      </c>
      <c r="T130" s="15">
        <v>374.25</v>
      </c>
      <c r="U130" t="s">
        <v>44</v>
      </c>
    </row>
    <row r="131" spans="1:21" x14ac:dyDescent="0.3">
      <c r="A131" s="10">
        <v>45887</v>
      </c>
      <c r="B131" t="s">
        <v>24</v>
      </c>
      <c r="C131" t="s">
        <v>30</v>
      </c>
      <c r="D131" s="11">
        <v>5417.63</v>
      </c>
      <c r="E131" s="11">
        <v>4850.1000000000004</v>
      </c>
      <c r="F131" s="12">
        <v>351653</v>
      </c>
      <c r="G131" s="12">
        <v>22519</v>
      </c>
      <c r="H131" s="13">
        <f t="shared" si="12"/>
        <v>6.4037559753507015E-2</v>
      </c>
      <c r="I131">
        <v>0.22</v>
      </c>
      <c r="J131">
        <v>13.79</v>
      </c>
      <c r="K131">
        <f t="shared" si="13"/>
        <v>3.5539927011814187</v>
      </c>
      <c r="L131">
        <f t="shared" si="14"/>
        <v>2.5539927011814187</v>
      </c>
      <c r="M131">
        <f t="shared" si="15"/>
        <v>0</v>
      </c>
      <c r="N131" s="11">
        <f t="shared" si="16"/>
        <v>5.0733263598326364</v>
      </c>
      <c r="O131" s="11">
        <f t="shared" si="17"/>
        <v>12.125250000000001</v>
      </c>
      <c r="P131" s="12">
        <v>956</v>
      </c>
      <c r="Q131">
        <v>400</v>
      </c>
      <c r="R131" s="14">
        <v>1.78</v>
      </c>
      <c r="S131" s="11">
        <v>17237.22</v>
      </c>
      <c r="T131" s="15">
        <v>255.4</v>
      </c>
      <c r="U131" t="s">
        <v>44</v>
      </c>
    </row>
    <row r="132" spans="1:21" x14ac:dyDescent="0.3">
      <c r="A132" s="10">
        <v>45887</v>
      </c>
      <c r="B132" t="s">
        <v>26</v>
      </c>
      <c r="C132" t="s">
        <v>36</v>
      </c>
      <c r="D132" s="11">
        <v>3290.24</v>
      </c>
      <c r="E132" s="11">
        <v>2750.72</v>
      </c>
      <c r="F132" s="12">
        <v>571955</v>
      </c>
      <c r="G132" s="12">
        <v>58186</v>
      </c>
      <c r="H132" s="13">
        <f t="shared" si="12"/>
        <v>0.1017317795980453</v>
      </c>
      <c r="I132">
        <v>0.05</v>
      </c>
      <c r="J132">
        <v>4.8099999999999996</v>
      </c>
      <c r="K132">
        <f t="shared" si="13"/>
        <v>2.7784870870172176</v>
      </c>
      <c r="L132">
        <f t="shared" si="14"/>
        <v>1.7784870870172178</v>
      </c>
      <c r="M132">
        <f t="shared" si="15"/>
        <v>0</v>
      </c>
      <c r="N132" s="11">
        <f t="shared" si="16"/>
        <v>4.099433681073025</v>
      </c>
      <c r="O132" s="11">
        <f t="shared" si="17"/>
        <v>7.2387368421052622</v>
      </c>
      <c r="P132" s="12">
        <v>671</v>
      </c>
      <c r="Q132">
        <v>380</v>
      </c>
      <c r="R132" s="14">
        <v>0.65</v>
      </c>
      <c r="S132" s="11">
        <v>7642.84</v>
      </c>
      <c r="T132" s="15">
        <v>177.85</v>
      </c>
      <c r="U132" t="s">
        <v>44</v>
      </c>
    </row>
    <row r="133" spans="1:21" x14ac:dyDescent="0.3">
      <c r="A133" s="10">
        <v>45887</v>
      </c>
      <c r="B133" t="s">
        <v>28</v>
      </c>
      <c r="C133" t="s">
        <v>31</v>
      </c>
      <c r="D133" s="11">
        <v>8394.67</v>
      </c>
      <c r="E133" s="11">
        <v>7605.81</v>
      </c>
      <c r="F133" s="12">
        <v>923665</v>
      </c>
      <c r="G133" s="12">
        <v>51577</v>
      </c>
      <c r="H133" s="13">
        <f t="shared" si="12"/>
        <v>5.5839508912863427E-2</v>
      </c>
      <c r="I133">
        <v>0.15</v>
      </c>
      <c r="J133">
        <v>8.23</v>
      </c>
      <c r="K133">
        <f t="shared" si="13"/>
        <v>4.8061797494283969</v>
      </c>
      <c r="L133">
        <f t="shared" si="14"/>
        <v>3.8061797494283969</v>
      </c>
      <c r="M133">
        <f t="shared" si="15"/>
        <v>0</v>
      </c>
      <c r="N133" s="11">
        <f t="shared" si="16"/>
        <v>4.4872035398230095</v>
      </c>
      <c r="O133" s="11">
        <f t="shared" si="17"/>
        <v>98.776753246753259</v>
      </c>
      <c r="P133" s="12">
        <v>1695</v>
      </c>
      <c r="Q133">
        <v>77</v>
      </c>
      <c r="R133" s="14">
        <v>0.15</v>
      </c>
      <c r="S133" s="11">
        <v>36554.89</v>
      </c>
      <c r="T133" s="15">
        <v>380.62</v>
      </c>
      <c r="U133" t="s">
        <v>44</v>
      </c>
    </row>
    <row r="134" spans="1:21" x14ac:dyDescent="0.3">
      <c r="A134" s="10">
        <v>45894</v>
      </c>
      <c r="B134" t="s">
        <v>21</v>
      </c>
      <c r="C134" t="s">
        <v>32</v>
      </c>
      <c r="D134" s="11">
        <v>9507.2000000000007</v>
      </c>
      <c r="E134" s="11">
        <v>7327.47</v>
      </c>
      <c r="F134" s="12">
        <v>317363</v>
      </c>
      <c r="G134" s="12">
        <v>37966</v>
      </c>
      <c r="H134" s="13">
        <f t="shared" si="12"/>
        <v>0.11962957244543315</v>
      </c>
      <c r="I134">
        <v>0.19</v>
      </c>
      <c r="J134">
        <v>23.09</v>
      </c>
      <c r="K134">
        <f t="shared" si="13"/>
        <v>3.5123924082937221</v>
      </c>
      <c r="L134">
        <f t="shared" si="14"/>
        <v>2.5123924082937221</v>
      </c>
      <c r="M134">
        <f t="shared" si="15"/>
        <v>0</v>
      </c>
      <c r="N134" s="11">
        <f t="shared" si="16"/>
        <v>2.4796852791878172</v>
      </c>
      <c r="O134" s="11">
        <f t="shared" si="17"/>
        <v>3.4224521251751518</v>
      </c>
      <c r="P134" s="12">
        <v>2955</v>
      </c>
      <c r="Q134">
        <v>2141</v>
      </c>
      <c r="R134" s="14">
        <v>5.64</v>
      </c>
      <c r="S134" s="11">
        <v>25736.95</v>
      </c>
      <c r="T134" s="15">
        <v>251.24</v>
      </c>
      <c r="U134" t="s">
        <v>44</v>
      </c>
    </row>
    <row r="135" spans="1:21" x14ac:dyDescent="0.3">
      <c r="A135" s="10">
        <v>45894</v>
      </c>
      <c r="B135" t="s">
        <v>24</v>
      </c>
      <c r="C135" t="s">
        <v>30</v>
      </c>
      <c r="D135" s="11">
        <v>4193.29</v>
      </c>
      <c r="E135" s="11">
        <v>3776.98</v>
      </c>
      <c r="F135" s="12">
        <v>307172</v>
      </c>
      <c r="G135" s="12">
        <v>9750</v>
      </c>
      <c r="H135" s="13">
        <f t="shared" si="12"/>
        <v>3.1741174325784903E-2</v>
      </c>
      <c r="I135">
        <v>0.39</v>
      </c>
      <c r="J135">
        <v>12.3</v>
      </c>
      <c r="K135">
        <f t="shared" si="13"/>
        <v>3.8692156167096465</v>
      </c>
      <c r="L135">
        <f t="shared" si="14"/>
        <v>2.8692156167096465</v>
      </c>
      <c r="M135">
        <f t="shared" si="15"/>
        <v>0</v>
      </c>
      <c r="N135" s="11">
        <f t="shared" si="16"/>
        <v>1.293486301369863</v>
      </c>
      <c r="O135" s="11">
        <f t="shared" si="17"/>
        <v>1.5089812225329604</v>
      </c>
      <c r="P135" s="12">
        <v>2920</v>
      </c>
      <c r="Q135">
        <v>2503</v>
      </c>
      <c r="R135" s="14">
        <v>25.67</v>
      </c>
      <c r="S135" s="11">
        <v>14613.95</v>
      </c>
      <c r="T135" s="15">
        <v>286.92</v>
      </c>
      <c r="U135" t="s">
        <v>44</v>
      </c>
    </row>
    <row r="136" spans="1:21" x14ac:dyDescent="0.3">
      <c r="A136" s="10">
        <v>45894</v>
      </c>
      <c r="B136" t="s">
        <v>26</v>
      </c>
      <c r="C136" t="s">
        <v>36</v>
      </c>
      <c r="D136" s="11">
        <v>10357.99</v>
      </c>
      <c r="E136" s="11">
        <v>9015.08</v>
      </c>
      <c r="F136" s="12">
        <v>1380259</v>
      </c>
      <c r="G136" s="12">
        <v>57031</v>
      </c>
      <c r="H136" s="13">
        <f t="shared" si="12"/>
        <v>4.1319056785719205E-2</v>
      </c>
      <c r="I136">
        <v>0.16</v>
      </c>
      <c r="J136">
        <v>6.53</v>
      </c>
      <c r="K136">
        <f t="shared" si="13"/>
        <v>4.4698882317184099</v>
      </c>
      <c r="L136">
        <f t="shared" si="14"/>
        <v>3.4698882317184094</v>
      </c>
      <c r="M136">
        <f t="shared" si="15"/>
        <v>0</v>
      </c>
      <c r="N136" s="11">
        <f t="shared" si="16"/>
        <v>3.6542683421159303</v>
      </c>
      <c r="O136" s="11">
        <f t="shared" si="17"/>
        <v>5.3950209455415914</v>
      </c>
      <c r="P136" s="12">
        <v>2467</v>
      </c>
      <c r="Q136">
        <v>1671</v>
      </c>
      <c r="R136" s="14">
        <v>2.93</v>
      </c>
      <c r="S136" s="11">
        <v>40296.400000000001</v>
      </c>
      <c r="T136" s="15">
        <v>346.99</v>
      </c>
      <c r="U136" t="s">
        <v>44</v>
      </c>
    </row>
    <row r="137" spans="1:21" x14ac:dyDescent="0.3">
      <c r="A137" s="10">
        <v>45894</v>
      </c>
      <c r="B137" t="s">
        <v>28</v>
      </c>
      <c r="C137" t="s">
        <v>31</v>
      </c>
      <c r="D137" s="11">
        <v>8912.93</v>
      </c>
      <c r="E137" s="11">
        <v>7225.51</v>
      </c>
      <c r="F137" s="12">
        <v>738074</v>
      </c>
      <c r="G137" s="12">
        <v>36358</v>
      </c>
      <c r="H137" s="13">
        <f t="shared" si="12"/>
        <v>4.926064324173457E-2</v>
      </c>
      <c r="I137">
        <v>0.2</v>
      </c>
      <c r="J137">
        <v>9.7899999999999991</v>
      </c>
      <c r="K137">
        <f t="shared" si="13"/>
        <v>1.8524436337365806</v>
      </c>
      <c r="L137">
        <f t="shared" si="14"/>
        <v>0.8524436337365805</v>
      </c>
      <c r="M137">
        <f t="shared" si="15"/>
        <v>0</v>
      </c>
      <c r="N137" s="11">
        <f t="shared" si="16"/>
        <v>1.9252624567013057</v>
      </c>
      <c r="O137" s="11">
        <f t="shared" si="17"/>
        <v>3.0694604927782501</v>
      </c>
      <c r="P137" s="12">
        <v>3753</v>
      </c>
      <c r="Q137">
        <v>2354</v>
      </c>
      <c r="R137" s="14">
        <v>6.47</v>
      </c>
      <c r="S137" s="11">
        <v>13384.85</v>
      </c>
      <c r="T137" s="15">
        <v>85.24</v>
      </c>
      <c r="U137" t="s">
        <v>44</v>
      </c>
    </row>
    <row r="138" spans="1:21" x14ac:dyDescent="0.3">
      <c r="A138" s="10">
        <v>45901</v>
      </c>
      <c r="B138" t="s">
        <v>21</v>
      </c>
      <c r="C138" t="s">
        <v>22</v>
      </c>
      <c r="D138" s="11">
        <v>3236.28</v>
      </c>
      <c r="E138" s="11">
        <v>2715.57</v>
      </c>
      <c r="F138" s="12">
        <v>362737</v>
      </c>
      <c r="G138" s="12">
        <v>4125</v>
      </c>
      <c r="H138" s="13">
        <f t="shared" si="12"/>
        <v>1.137187549105826E-2</v>
      </c>
      <c r="I138">
        <v>0.66</v>
      </c>
      <c r="J138">
        <v>7.49</v>
      </c>
      <c r="K138">
        <f t="shared" si="13"/>
        <v>3.543318713934827</v>
      </c>
      <c r="L138">
        <f t="shared" si="14"/>
        <v>2.5433187139348274</v>
      </c>
      <c r="M138">
        <f t="shared" si="15"/>
        <v>0</v>
      </c>
      <c r="N138" s="11">
        <f t="shared" si="16"/>
        <v>2.1864492753623188</v>
      </c>
      <c r="O138" s="11">
        <f t="shared" si="17"/>
        <v>11.267925311203321</v>
      </c>
      <c r="P138" s="12">
        <v>1242</v>
      </c>
      <c r="Q138">
        <v>241</v>
      </c>
      <c r="R138" s="14">
        <v>5.84</v>
      </c>
      <c r="S138" s="11">
        <v>9622.1299999999992</v>
      </c>
      <c r="T138" s="15">
        <v>254.33</v>
      </c>
      <c r="U138" t="s">
        <v>45</v>
      </c>
    </row>
    <row r="139" spans="1:21" x14ac:dyDescent="0.3">
      <c r="A139" s="10">
        <v>45901</v>
      </c>
      <c r="B139" t="s">
        <v>24</v>
      </c>
      <c r="C139" t="s">
        <v>25</v>
      </c>
      <c r="D139" s="11">
        <v>10467.17</v>
      </c>
      <c r="E139" s="11">
        <v>9351.9500000000007</v>
      </c>
      <c r="F139" s="12">
        <v>339830</v>
      </c>
      <c r="G139" s="12">
        <v>41636</v>
      </c>
      <c r="H139" s="13">
        <f t="shared" si="12"/>
        <v>0.12252008357119737</v>
      </c>
      <c r="I139">
        <v>0.22</v>
      </c>
      <c r="J139">
        <v>27.52</v>
      </c>
      <c r="K139">
        <f t="shared" si="13"/>
        <v>2.8350333352937085</v>
      </c>
      <c r="L139">
        <f t="shared" si="14"/>
        <v>1.8350333352937085</v>
      </c>
      <c r="M139">
        <f t="shared" si="15"/>
        <v>0</v>
      </c>
      <c r="N139" s="11">
        <f t="shared" si="16"/>
        <v>3.4598409174990752</v>
      </c>
      <c r="O139" s="11">
        <f t="shared" si="17"/>
        <v>3.9677344081459487</v>
      </c>
      <c r="P139" s="12">
        <v>2703</v>
      </c>
      <c r="Q139">
        <v>2357</v>
      </c>
      <c r="R139" s="14">
        <v>5.66</v>
      </c>
      <c r="S139" s="11">
        <v>26513.09</v>
      </c>
      <c r="T139" s="15">
        <v>183.5</v>
      </c>
      <c r="U139" t="s">
        <v>45</v>
      </c>
    </row>
    <row r="140" spans="1:21" x14ac:dyDescent="0.3">
      <c r="A140" s="10">
        <v>45901</v>
      </c>
      <c r="B140" t="s">
        <v>26</v>
      </c>
      <c r="C140" t="s">
        <v>27</v>
      </c>
      <c r="D140" s="11">
        <v>6498.38</v>
      </c>
      <c r="E140" s="11">
        <v>6382.29</v>
      </c>
      <c r="F140" s="12">
        <v>372964</v>
      </c>
      <c r="G140" s="12">
        <v>31053</v>
      </c>
      <c r="H140" s="13">
        <f t="shared" si="12"/>
        <v>8.3260046546047337E-2</v>
      </c>
      <c r="I140">
        <v>0.21</v>
      </c>
      <c r="J140">
        <v>17.11</v>
      </c>
      <c r="K140">
        <f t="shared" si="13"/>
        <v>1.9085986377930177</v>
      </c>
      <c r="L140">
        <f t="shared" si="14"/>
        <v>0.90859863779301786</v>
      </c>
      <c r="M140">
        <f t="shared" si="15"/>
        <v>0</v>
      </c>
      <c r="N140" s="11">
        <f t="shared" si="16"/>
        <v>4.4168096885813153</v>
      </c>
      <c r="O140" s="11">
        <f t="shared" si="17"/>
        <v>6.6069254658385095</v>
      </c>
      <c r="P140" s="12">
        <v>1445</v>
      </c>
      <c r="Q140">
        <v>966</v>
      </c>
      <c r="R140" s="14">
        <v>3.11</v>
      </c>
      <c r="S140" s="11">
        <v>12181.23</v>
      </c>
      <c r="T140" s="15">
        <v>90.86</v>
      </c>
      <c r="U140" t="s">
        <v>45</v>
      </c>
    </row>
    <row r="141" spans="1:21" x14ac:dyDescent="0.3">
      <c r="A141" s="10">
        <v>45901</v>
      </c>
      <c r="B141" t="s">
        <v>28</v>
      </c>
      <c r="C141" t="s">
        <v>31</v>
      </c>
      <c r="D141" s="11">
        <v>4587.4799999999996</v>
      </c>
      <c r="E141" s="11">
        <v>4445.8100000000004</v>
      </c>
      <c r="F141" s="12">
        <v>117205</v>
      </c>
      <c r="G141" s="12">
        <v>3820</v>
      </c>
      <c r="H141" s="13">
        <f t="shared" si="12"/>
        <v>3.2592466191715373E-2</v>
      </c>
      <c r="I141">
        <v>1.1599999999999999</v>
      </c>
      <c r="J141">
        <v>37.93</v>
      </c>
      <c r="K141">
        <f t="shared" si="13"/>
        <v>1.394679484728317</v>
      </c>
      <c r="L141">
        <f t="shared" si="14"/>
        <v>0.39467948472831699</v>
      </c>
      <c r="M141">
        <f t="shared" si="15"/>
        <v>0</v>
      </c>
      <c r="N141" s="11">
        <f t="shared" si="16"/>
        <v>7.3728192371475965</v>
      </c>
      <c r="O141" s="11">
        <f t="shared" si="17"/>
        <v>17.099269230769231</v>
      </c>
      <c r="P141" s="12">
        <v>603</v>
      </c>
      <c r="Q141">
        <v>260</v>
      </c>
      <c r="R141" s="14">
        <v>6.81</v>
      </c>
      <c r="S141" s="11">
        <v>6200.48</v>
      </c>
      <c r="T141" s="15">
        <v>39.47</v>
      </c>
      <c r="U141" t="s">
        <v>45</v>
      </c>
    </row>
    <row r="142" spans="1:21" x14ac:dyDescent="0.3">
      <c r="A142" s="10">
        <v>45908</v>
      </c>
      <c r="B142" t="s">
        <v>21</v>
      </c>
      <c r="C142" t="s">
        <v>32</v>
      </c>
      <c r="D142" s="11">
        <v>5570.1</v>
      </c>
      <c r="E142" s="11">
        <v>5290.94</v>
      </c>
      <c r="F142" s="12">
        <v>893006</v>
      </c>
      <c r="G142" s="12">
        <v>42778</v>
      </c>
      <c r="H142" s="13">
        <f t="shared" si="12"/>
        <v>4.7903373549561819E-2</v>
      </c>
      <c r="I142">
        <v>0.12</v>
      </c>
      <c r="J142">
        <v>5.92</v>
      </c>
      <c r="K142">
        <f t="shared" si="13"/>
        <v>1.8389548927033759</v>
      </c>
      <c r="L142">
        <f t="shared" si="14"/>
        <v>0.83895489270337598</v>
      </c>
      <c r="M142">
        <f t="shared" si="15"/>
        <v>0</v>
      </c>
      <c r="N142" s="11">
        <f t="shared" si="16"/>
        <v>33.068374999999996</v>
      </c>
      <c r="O142" s="11">
        <f t="shared" si="17"/>
        <v>48.540733944954127</v>
      </c>
      <c r="P142" s="12">
        <v>160</v>
      </c>
      <c r="Q142">
        <v>109</v>
      </c>
      <c r="R142" s="14">
        <v>0.25</v>
      </c>
      <c r="S142" s="11">
        <v>9729.7999999999993</v>
      </c>
      <c r="T142" s="15">
        <v>83.9</v>
      </c>
      <c r="U142" t="s">
        <v>45</v>
      </c>
    </row>
    <row r="143" spans="1:21" x14ac:dyDescent="0.3">
      <c r="A143" s="10">
        <v>45908</v>
      </c>
      <c r="B143" t="s">
        <v>24</v>
      </c>
      <c r="C143" t="s">
        <v>25</v>
      </c>
      <c r="D143" s="11">
        <v>11934.32</v>
      </c>
      <c r="E143" s="11">
        <v>10648.6</v>
      </c>
      <c r="F143" s="12">
        <v>713060</v>
      </c>
      <c r="G143" s="12">
        <v>7417</v>
      </c>
      <c r="H143" s="13">
        <f t="shared" si="12"/>
        <v>1.0401649230078816E-2</v>
      </c>
      <c r="I143">
        <v>1.44</v>
      </c>
      <c r="J143">
        <v>14.93</v>
      </c>
      <c r="K143">
        <f t="shared" si="13"/>
        <v>3.210596698157504</v>
      </c>
      <c r="L143">
        <f t="shared" si="14"/>
        <v>2.2105966981575045</v>
      </c>
      <c r="M143">
        <f t="shared" si="15"/>
        <v>0</v>
      </c>
      <c r="N143" s="11">
        <f t="shared" si="16"/>
        <v>6.0745008556759839</v>
      </c>
      <c r="O143" s="11">
        <f t="shared" si="17"/>
        <v>9.7604032997250236</v>
      </c>
      <c r="P143" s="12">
        <v>1753</v>
      </c>
      <c r="Q143">
        <v>1091</v>
      </c>
      <c r="R143" s="14">
        <v>14.71</v>
      </c>
      <c r="S143" s="11">
        <v>34188.36</v>
      </c>
      <c r="T143" s="15">
        <v>221.06</v>
      </c>
      <c r="U143" t="s">
        <v>45</v>
      </c>
    </row>
    <row r="144" spans="1:21" x14ac:dyDescent="0.3">
      <c r="A144" s="10">
        <v>45908</v>
      </c>
      <c r="B144" t="s">
        <v>26</v>
      </c>
      <c r="C144" t="s">
        <v>27</v>
      </c>
      <c r="D144" s="11">
        <v>11949.47</v>
      </c>
      <c r="E144" s="11">
        <v>11854.23</v>
      </c>
      <c r="F144" s="12">
        <v>1464990</v>
      </c>
      <c r="G144" s="12">
        <v>44536</v>
      </c>
      <c r="H144" s="13">
        <f t="shared" si="12"/>
        <v>3.0400207509948873E-2</v>
      </c>
      <c r="I144">
        <v>0.27</v>
      </c>
      <c r="J144">
        <v>8.09</v>
      </c>
      <c r="K144">
        <f t="shared" si="13"/>
        <v>1.4196788825592217</v>
      </c>
      <c r="L144">
        <f t="shared" si="14"/>
        <v>0.41967888255922159</v>
      </c>
      <c r="M144">
        <f t="shared" si="15"/>
        <v>0</v>
      </c>
      <c r="N144" s="11">
        <f t="shared" si="16"/>
        <v>29.561670822942641</v>
      </c>
      <c r="O144" s="11">
        <f t="shared" si="17"/>
        <v>35.813383685800602</v>
      </c>
      <c r="P144" s="12">
        <v>401</v>
      </c>
      <c r="Q144">
        <v>331</v>
      </c>
      <c r="R144" s="14">
        <v>0.74</v>
      </c>
      <c r="S144" s="11">
        <v>16829.2</v>
      </c>
      <c r="T144" s="15">
        <v>41.97</v>
      </c>
      <c r="U144" t="s">
        <v>45</v>
      </c>
    </row>
    <row r="145" spans="1:21" x14ac:dyDescent="0.3">
      <c r="A145" s="10">
        <v>45908</v>
      </c>
      <c r="B145" t="s">
        <v>28</v>
      </c>
      <c r="C145" t="s">
        <v>29</v>
      </c>
      <c r="D145" s="11">
        <v>3558.28</v>
      </c>
      <c r="E145" s="11">
        <v>3251.14</v>
      </c>
      <c r="F145" s="12">
        <v>1484511</v>
      </c>
      <c r="G145" s="12">
        <v>37181</v>
      </c>
      <c r="H145" s="13">
        <f t="shared" si="12"/>
        <v>2.5045957894552481E-2</v>
      </c>
      <c r="I145">
        <v>0.09</v>
      </c>
      <c r="J145">
        <v>2.19</v>
      </c>
      <c r="K145">
        <f t="shared" si="13"/>
        <v>4.2463966485601974</v>
      </c>
      <c r="L145">
        <f t="shared" si="14"/>
        <v>3.2463966485601974</v>
      </c>
      <c r="M145">
        <f t="shared" si="15"/>
        <v>0</v>
      </c>
      <c r="N145" s="11">
        <f t="shared" si="16"/>
        <v>1.1183832129342965</v>
      </c>
      <c r="O145" s="11">
        <f t="shared" si="17"/>
        <v>2.171770207080828</v>
      </c>
      <c r="P145" s="12">
        <v>2907</v>
      </c>
      <c r="Q145">
        <v>1497</v>
      </c>
      <c r="R145" s="14">
        <v>4.03</v>
      </c>
      <c r="S145" s="11">
        <v>13805.63</v>
      </c>
      <c r="T145" s="15">
        <v>324.64</v>
      </c>
      <c r="U145" t="s">
        <v>45</v>
      </c>
    </row>
    <row r="146" spans="1:21" x14ac:dyDescent="0.3">
      <c r="A146" s="10">
        <v>45915</v>
      </c>
      <c r="B146" t="s">
        <v>21</v>
      </c>
      <c r="C146" t="s">
        <v>37</v>
      </c>
      <c r="D146" s="11">
        <v>3124.07</v>
      </c>
      <c r="E146" s="11">
        <v>2751.37</v>
      </c>
      <c r="F146" s="12">
        <v>1186729</v>
      </c>
      <c r="G146" s="12">
        <v>25280</v>
      </c>
      <c r="H146" s="13">
        <f t="shared" si="12"/>
        <v>2.1302251819918447E-2</v>
      </c>
      <c r="I146">
        <v>0.11</v>
      </c>
      <c r="J146">
        <v>2.3199999999999998</v>
      </c>
      <c r="K146">
        <f t="shared" si="13"/>
        <v>2.1066886678273007</v>
      </c>
      <c r="L146">
        <f t="shared" si="14"/>
        <v>1.1066886678273005</v>
      </c>
      <c r="M146">
        <f t="shared" si="15"/>
        <v>0</v>
      </c>
      <c r="N146" s="11">
        <f t="shared" si="16"/>
        <v>1.5996337209302325</v>
      </c>
      <c r="O146" s="11">
        <f t="shared" si="17"/>
        <v>1.8453185781354795</v>
      </c>
      <c r="P146" s="12">
        <v>1720</v>
      </c>
      <c r="Q146">
        <v>1491</v>
      </c>
      <c r="R146" s="14">
        <v>5.9</v>
      </c>
      <c r="S146" s="11">
        <v>5796.28</v>
      </c>
      <c r="T146" s="15">
        <v>110.67</v>
      </c>
      <c r="U146" t="s">
        <v>45</v>
      </c>
    </row>
    <row r="147" spans="1:21" x14ac:dyDescent="0.3">
      <c r="A147" s="10">
        <v>45915</v>
      </c>
      <c r="B147" t="s">
        <v>24</v>
      </c>
      <c r="C147" t="s">
        <v>25</v>
      </c>
      <c r="D147" s="11">
        <v>5664.42</v>
      </c>
      <c r="E147" s="11">
        <v>5337.78</v>
      </c>
      <c r="F147" s="12">
        <v>221298</v>
      </c>
      <c r="G147" s="12">
        <v>43171</v>
      </c>
      <c r="H147" s="13">
        <f t="shared" si="12"/>
        <v>0.19508084121862829</v>
      </c>
      <c r="I147">
        <v>0.12</v>
      </c>
      <c r="J147">
        <v>24.12</v>
      </c>
      <c r="K147">
        <f t="shared" si="13"/>
        <v>2.2421718392290426</v>
      </c>
      <c r="L147">
        <f t="shared" si="14"/>
        <v>1.2421718392290428</v>
      </c>
      <c r="M147">
        <f t="shared" si="15"/>
        <v>0</v>
      </c>
      <c r="N147" s="11">
        <f t="shared" si="16"/>
        <v>2.065704334365325</v>
      </c>
      <c r="O147" s="11">
        <f t="shared" si="17"/>
        <v>2.2512779417967099</v>
      </c>
      <c r="P147" s="12">
        <v>2584</v>
      </c>
      <c r="Q147">
        <v>2371</v>
      </c>
      <c r="R147" s="14">
        <v>5.49</v>
      </c>
      <c r="S147" s="11">
        <v>11968.22</v>
      </c>
      <c r="T147" s="15">
        <v>124.22</v>
      </c>
      <c r="U147" t="s">
        <v>45</v>
      </c>
    </row>
    <row r="148" spans="1:21" x14ac:dyDescent="0.3">
      <c r="A148" s="10">
        <v>45915</v>
      </c>
      <c r="B148" t="s">
        <v>26</v>
      </c>
      <c r="C148" t="s">
        <v>27</v>
      </c>
      <c r="D148" s="11">
        <v>8548.9699999999993</v>
      </c>
      <c r="E148" s="11">
        <v>8106.46</v>
      </c>
      <c r="F148" s="12">
        <v>818723</v>
      </c>
      <c r="G148" s="12">
        <v>29003</v>
      </c>
      <c r="H148" s="13">
        <f t="shared" si="12"/>
        <v>3.5424679653558042E-2</v>
      </c>
      <c r="I148">
        <v>0.28000000000000003</v>
      </c>
      <c r="J148">
        <v>9.9</v>
      </c>
      <c r="K148">
        <f t="shared" si="13"/>
        <v>3.1852127809179347</v>
      </c>
      <c r="L148">
        <f t="shared" si="14"/>
        <v>2.1852127809179347</v>
      </c>
      <c r="M148">
        <f t="shared" si="15"/>
        <v>0</v>
      </c>
      <c r="N148" s="11">
        <f t="shared" si="16"/>
        <v>5.333197368421053</v>
      </c>
      <c r="O148" s="11">
        <f t="shared" si="17"/>
        <v>7.3097024346257893</v>
      </c>
      <c r="P148" s="12">
        <v>1520</v>
      </c>
      <c r="Q148">
        <v>1109</v>
      </c>
      <c r="R148" s="14">
        <v>3.82</v>
      </c>
      <c r="S148" s="11">
        <v>25820.799999999999</v>
      </c>
      <c r="T148" s="15">
        <v>218.52</v>
      </c>
      <c r="U148" t="s">
        <v>45</v>
      </c>
    </row>
    <row r="149" spans="1:21" x14ac:dyDescent="0.3">
      <c r="A149" s="10">
        <v>45915</v>
      </c>
      <c r="B149" t="s">
        <v>28</v>
      </c>
      <c r="C149" t="s">
        <v>35</v>
      </c>
      <c r="D149" s="11">
        <v>9952.58</v>
      </c>
      <c r="E149" s="11">
        <v>9339.33</v>
      </c>
      <c r="F149" s="12">
        <v>193914</v>
      </c>
      <c r="G149" s="12">
        <v>48076</v>
      </c>
      <c r="H149" s="13">
        <f t="shared" si="12"/>
        <v>0.24792433759295357</v>
      </c>
      <c r="I149">
        <v>0.19</v>
      </c>
      <c r="J149">
        <v>48.16</v>
      </c>
      <c r="K149">
        <f t="shared" si="13"/>
        <v>3.9172884992820682</v>
      </c>
      <c r="L149">
        <f t="shared" si="14"/>
        <v>2.9172884992820682</v>
      </c>
      <c r="M149">
        <f t="shared" si="15"/>
        <v>0</v>
      </c>
      <c r="N149" s="11">
        <f t="shared" si="16"/>
        <v>6.2933490566037733</v>
      </c>
      <c r="O149" s="11">
        <f t="shared" si="17"/>
        <v>9.084951361867704</v>
      </c>
      <c r="P149" s="12">
        <v>1484</v>
      </c>
      <c r="Q149">
        <v>1028</v>
      </c>
      <c r="R149" s="14">
        <v>2.14</v>
      </c>
      <c r="S149" s="11">
        <v>36584.85</v>
      </c>
      <c r="T149" s="15">
        <v>291.73</v>
      </c>
      <c r="U149" t="s">
        <v>45</v>
      </c>
    </row>
    <row r="150" spans="1:21" x14ac:dyDescent="0.3">
      <c r="A150" s="10">
        <v>45922</v>
      </c>
      <c r="B150" t="s">
        <v>21</v>
      </c>
      <c r="C150" t="s">
        <v>32</v>
      </c>
      <c r="D150" s="11">
        <v>4315.05</v>
      </c>
      <c r="E150" s="11">
        <v>3336.69</v>
      </c>
      <c r="F150" s="12">
        <v>191281</v>
      </c>
      <c r="G150" s="12">
        <v>20375</v>
      </c>
      <c r="H150" s="13">
        <f t="shared" si="12"/>
        <v>0.10651868193913666</v>
      </c>
      <c r="I150">
        <v>0.16</v>
      </c>
      <c r="J150">
        <v>17.440000000000001</v>
      </c>
      <c r="K150">
        <f t="shared" si="13"/>
        <v>1.5779260284893113</v>
      </c>
      <c r="L150">
        <f t="shared" si="14"/>
        <v>0.57792602848931129</v>
      </c>
      <c r="M150">
        <f t="shared" si="15"/>
        <v>0</v>
      </c>
      <c r="N150" s="11">
        <f t="shared" si="16"/>
        <v>1.3336091127098322</v>
      </c>
      <c r="O150" s="11">
        <f t="shared" si="17"/>
        <v>44.489200000000004</v>
      </c>
      <c r="P150" s="12">
        <v>2502</v>
      </c>
      <c r="Q150">
        <v>75</v>
      </c>
      <c r="R150" s="14">
        <v>0.37</v>
      </c>
      <c r="S150" s="11">
        <v>5265.05</v>
      </c>
      <c r="T150" s="15">
        <v>57.79</v>
      </c>
      <c r="U150" t="s">
        <v>45</v>
      </c>
    </row>
    <row r="151" spans="1:21" x14ac:dyDescent="0.3">
      <c r="A151" s="10">
        <v>45922</v>
      </c>
      <c r="B151" t="s">
        <v>24</v>
      </c>
      <c r="C151" t="s">
        <v>30</v>
      </c>
      <c r="D151" s="11">
        <v>11952.42</v>
      </c>
      <c r="E151" s="11">
        <v>9840.86</v>
      </c>
      <c r="F151" s="12">
        <v>421707</v>
      </c>
      <c r="G151" s="12">
        <v>50875</v>
      </c>
      <c r="H151" s="13">
        <f t="shared" si="12"/>
        <v>0.12064063437410334</v>
      </c>
      <c r="I151">
        <v>0.19</v>
      </c>
      <c r="J151">
        <v>23.34</v>
      </c>
      <c r="K151">
        <f t="shared" si="13"/>
        <v>1.5589470838930741</v>
      </c>
      <c r="L151">
        <f t="shared" si="14"/>
        <v>0.55894708389307424</v>
      </c>
      <c r="M151">
        <f t="shared" si="15"/>
        <v>0</v>
      </c>
      <c r="N151" s="11">
        <f t="shared" si="16"/>
        <v>2.9498980815347724</v>
      </c>
      <c r="O151" s="11">
        <f t="shared" si="17"/>
        <v>4.3294588649362078</v>
      </c>
      <c r="P151" s="12">
        <v>3336</v>
      </c>
      <c r="Q151">
        <v>2273</v>
      </c>
      <c r="R151" s="14">
        <v>4.47</v>
      </c>
      <c r="S151" s="11">
        <v>15341.38</v>
      </c>
      <c r="T151" s="15">
        <v>55.89</v>
      </c>
      <c r="U151" t="s">
        <v>45</v>
      </c>
    </row>
    <row r="152" spans="1:21" x14ac:dyDescent="0.3">
      <c r="A152" s="10">
        <v>45922</v>
      </c>
      <c r="B152" t="s">
        <v>26</v>
      </c>
      <c r="C152" t="s">
        <v>34</v>
      </c>
      <c r="D152" s="11">
        <v>7898.16</v>
      </c>
      <c r="E152" s="11">
        <v>7338.08</v>
      </c>
      <c r="F152" s="12">
        <v>1401585</v>
      </c>
      <c r="G152" s="12">
        <v>30629</v>
      </c>
      <c r="H152" s="13">
        <f t="shared" si="12"/>
        <v>2.1853116293339327E-2</v>
      </c>
      <c r="I152">
        <v>0.24</v>
      </c>
      <c r="J152">
        <v>5.24</v>
      </c>
      <c r="K152">
        <f t="shared" si="13"/>
        <v>3.6395433137823514</v>
      </c>
      <c r="L152">
        <f t="shared" si="14"/>
        <v>2.6395433137823519</v>
      </c>
      <c r="M152">
        <f t="shared" si="15"/>
        <v>0</v>
      </c>
      <c r="N152" s="11">
        <f t="shared" si="16"/>
        <v>3.9989536784741144</v>
      </c>
      <c r="O152" s="11">
        <f t="shared" si="17"/>
        <v>67.321834862385316</v>
      </c>
      <c r="P152" s="12">
        <v>1835</v>
      </c>
      <c r="Q152">
        <v>109</v>
      </c>
      <c r="R152" s="14">
        <v>0.36</v>
      </c>
      <c r="S152" s="11">
        <v>26707.26</v>
      </c>
      <c r="T152" s="15">
        <v>263.95</v>
      </c>
      <c r="U152" t="s">
        <v>45</v>
      </c>
    </row>
    <row r="153" spans="1:21" x14ac:dyDescent="0.3">
      <c r="A153" s="10">
        <v>45922</v>
      </c>
      <c r="B153" t="s">
        <v>28</v>
      </c>
      <c r="C153" t="s">
        <v>35</v>
      </c>
      <c r="D153" s="11">
        <v>5447.04</v>
      </c>
      <c r="E153" s="11">
        <v>5379.49</v>
      </c>
      <c r="F153" s="12">
        <v>1171415</v>
      </c>
      <c r="G153" s="12">
        <v>40292</v>
      </c>
      <c r="H153" s="13">
        <f t="shared" si="12"/>
        <v>3.4396008246437001E-2</v>
      </c>
      <c r="I153">
        <v>0.13</v>
      </c>
      <c r="J153">
        <v>4.59</v>
      </c>
      <c r="K153">
        <f t="shared" si="13"/>
        <v>2.4012276256671172</v>
      </c>
      <c r="L153">
        <f t="shared" si="14"/>
        <v>1.401227625667117</v>
      </c>
      <c r="M153">
        <f t="shared" si="15"/>
        <v>0</v>
      </c>
      <c r="N153" s="11">
        <f t="shared" si="16"/>
        <v>1.6321268203883494</v>
      </c>
      <c r="O153" s="11">
        <f t="shared" si="17"/>
        <v>2.1279628164556961</v>
      </c>
      <c r="P153" s="12">
        <v>3296</v>
      </c>
      <c r="Q153">
        <v>2528</v>
      </c>
      <c r="R153" s="14">
        <v>6.27</v>
      </c>
      <c r="S153" s="11">
        <v>12917.38</v>
      </c>
      <c r="T153" s="15">
        <v>140.12</v>
      </c>
      <c r="U153" t="s">
        <v>45</v>
      </c>
    </row>
    <row r="154" spans="1:21" x14ac:dyDescent="0.3">
      <c r="A154" s="10">
        <v>45929</v>
      </c>
      <c r="B154" t="s">
        <v>21</v>
      </c>
      <c r="C154" t="s">
        <v>37</v>
      </c>
      <c r="D154" s="11">
        <v>6366.69</v>
      </c>
      <c r="E154" s="11">
        <v>5236.25</v>
      </c>
      <c r="F154" s="12">
        <v>1380476</v>
      </c>
      <c r="G154" s="12">
        <v>14501</v>
      </c>
      <c r="H154" s="13">
        <f t="shared" si="12"/>
        <v>1.0504347775694761E-2</v>
      </c>
      <c r="I154">
        <v>0.36</v>
      </c>
      <c r="J154">
        <v>3.79</v>
      </c>
      <c r="K154">
        <f t="shared" si="13"/>
        <v>4.7058734781570779</v>
      </c>
      <c r="L154">
        <f t="shared" si="14"/>
        <v>3.7058734781570783</v>
      </c>
      <c r="M154">
        <f t="shared" si="15"/>
        <v>0</v>
      </c>
      <c r="N154" s="11">
        <f t="shared" si="16"/>
        <v>3.0549883313885648</v>
      </c>
      <c r="O154" s="11">
        <f t="shared" si="17"/>
        <v>3.8054142441860463</v>
      </c>
      <c r="P154" s="12">
        <v>1714</v>
      </c>
      <c r="Q154">
        <v>1376</v>
      </c>
      <c r="R154" s="14">
        <v>9.49</v>
      </c>
      <c r="S154" s="11">
        <v>24641.13</v>
      </c>
      <c r="T154" s="15">
        <v>370.59</v>
      </c>
      <c r="U154" t="s">
        <v>45</v>
      </c>
    </row>
    <row r="155" spans="1:21" x14ac:dyDescent="0.3">
      <c r="A155" s="10">
        <v>45929</v>
      </c>
      <c r="B155" t="s">
        <v>24</v>
      </c>
      <c r="C155" t="s">
        <v>25</v>
      </c>
      <c r="D155" s="11">
        <v>6928.71</v>
      </c>
      <c r="E155" s="11">
        <v>6882.28</v>
      </c>
      <c r="F155" s="12">
        <v>1109304</v>
      </c>
      <c r="G155" s="12">
        <v>6953</v>
      </c>
      <c r="H155" s="13">
        <f t="shared" si="12"/>
        <v>6.2678941029690686E-3</v>
      </c>
      <c r="I155">
        <v>0.99</v>
      </c>
      <c r="J155">
        <v>6.2</v>
      </c>
      <c r="K155">
        <f t="shared" si="13"/>
        <v>1.9329902299819246</v>
      </c>
      <c r="L155">
        <f t="shared" si="14"/>
        <v>0.9329902299819246</v>
      </c>
      <c r="M155">
        <f t="shared" si="15"/>
        <v>0</v>
      </c>
      <c r="N155" s="11">
        <f t="shared" si="16"/>
        <v>5.8822905982905977</v>
      </c>
      <c r="O155" s="11">
        <f t="shared" si="17"/>
        <v>15.677175398633256</v>
      </c>
      <c r="P155" s="12">
        <v>1170</v>
      </c>
      <c r="Q155">
        <v>439</v>
      </c>
      <c r="R155" s="14">
        <v>6.31</v>
      </c>
      <c r="S155" s="11">
        <v>13303.38</v>
      </c>
      <c r="T155" s="15">
        <v>93.3</v>
      </c>
      <c r="U155" t="s">
        <v>45</v>
      </c>
    </row>
    <row r="156" spans="1:21" x14ac:dyDescent="0.3">
      <c r="A156" s="10">
        <v>45929</v>
      </c>
      <c r="B156" t="s">
        <v>26</v>
      </c>
      <c r="C156" t="s">
        <v>27</v>
      </c>
      <c r="D156" s="11">
        <v>7274.12</v>
      </c>
      <c r="E156" s="11">
        <v>5823.91</v>
      </c>
      <c r="F156" s="12">
        <v>539419</v>
      </c>
      <c r="G156" s="12">
        <v>53400</v>
      </c>
      <c r="H156" s="13">
        <f t="shared" si="12"/>
        <v>9.8995400606949335E-2</v>
      </c>
      <c r="I156">
        <v>0.11</v>
      </c>
      <c r="J156">
        <v>10.8</v>
      </c>
      <c r="K156">
        <f t="shared" si="13"/>
        <v>2.7836041422343407</v>
      </c>
      <c r="L156">
        <f t="shared" si="14"/>
        <v>1.7836041422343407</v>
      </c>
      <c r="M156">
        <f t="shared" si="15"/>
        <v>0</v>
      </c>
      <c r="N156" s="11">
        <f t="shared" si="16"/>
        <v>2.8618722358722359</v>
      </c>
      <c r="O156" s="11">
        <f t="shared" si="17"/>
        <v>3.829000657462196</v>
      </c>
      <c r="P156" s="12">
        <v>2035</v>
      </c>
      <c r="Q156">
        <v>1521</v>
      </c>
      <c r="R156" s="14">
        <v>2.85</v>
      </c>
      <c r="S156" s="11">
        <v>16211.46</v>
      </c>
      <c r="T156" s="15">
        <v>178.36</v>
      </c>
      <c r="U156" t="s">
        <v>45</v>
      </c>
    </row>
    <row r="157" spans="1:21" x14ac:dyDescent="0.3">
      <c r="A157" s="10">
        <v>45929</v>
      </c>
      <c r="B157" t="s">
        <v>28</v>
      </c>
      <c r="C157" t="s">
        <v>31</v>
      </c>
      <c r="D157" s="11">
        <v>11338.36</v>
      </c>
      <c r="E157" s="11">
        <v>10464.34</v>
      </c>
      <c r="F157" s="12">
        <v>118092</v>
      </c>
      <c r="G157" s="12">
        <v>52871</v>
      </c>
      <c r="H157" s="13">
        <f t="shared" si="12"/>
        <v>0.44771025979744605</v>
      </c>
      <c r="I157">
        <v>0.2</v>
      </c>
      <c r="J157">
        <v>88.61</v>
      </c>
      <c r="K157">
        <f t="shared" si="13"/>
        <v>2.0107593981082421</v>
      </c>
      <c r="L157">
        <f t="shared" si="14"/>
        <v>1.0107593981082419</v>
      </c>
      <c r="M157">
        <f t="shared" si="15"/>
        <v>0</v>
      </c>
      <c r="N157" s="11">
        <f t="shared" si="16"/>
        <v>2.7393560209424086</v>
      </c>
      <c r="O157" s="11">
        <f t="shared" si="17"/>
        <v>4.1723843700159486</v>
      </c>
      <c r="P157" s="12">
        <v>3820</v>
      </c>
      <c r="Q157">
        <v>2508</v>
      </c>
      <c r="R157" s="14">
        <v>4.74</v>
      </c>
      <c r="S157" s="11">
        <v>21041.27</v>
      </c>
      <c r="T157" s="15">
        <v>101.08</v>
      </c>
      <c r="U157" t="s">
        <v>45</v>
      </c>
    </row>
    <row r="158" spans="1:21" x14ac:dyDescent="0.3">
      <c r="A158" s="10">
        <v>45936</v>
      </c>
      <c r="B158" t="s">
        <v>21</v>
      </c>
      <c r="C158" t="s">
        <v>22</v>
      </c>
      <c r="D158" s="11">
        <v>9079.81</v>
      </c>
      <c r="E158" s="11">
        <v>8889.32</v>
      </c>
      <c r="F158" s="12">
        <v>359390</v>
      </c>
      <c r="G158" s="12">
        <v>57093</v>
      </c>
      <c r="H158" s="13">
        <f t="shared" si="12"/>
        <v>0.15886084754723281</v>
      </c>
      <c r="I158">
        <v>0.16</v>
      </c>
      <c r="J158">
        <v>24.73</v>
      </c>
      <c r="K158">
        <f t="shared" si="13"/>
        <v>2.2569262890749799</v>
      </c>
      <c r="L158">
        <f t="shared" si="14"/>
        <v>1.2569262890749799</v>
      </c>
      <c r="M158">
        <f t="shared" si="15"/>
        <v>0</v>
      </c>
      <c r="N158" s="11">
        <f t="shared" si="16"/>
        <v>2.2975756009304731</v>
      </c>
      <c r="O158" s="11">
        <f t="shared" si="17"/>
        <v>4.6909340369393142</v>
      </c>
      <c r="P158" s="12">
        <v>3869</v>
      </c>
      <c r="Q158">
        <v>1895</v>
      </c>
      <c r="R158" s="14">
        <v>3.32</v>
      </c>
      <c r="S158" s="11">
        <v>20062.54</v>
      </c>
      <c r="T158" s="15">
        <v>125.69</v>
      </c>
      <c r="U158" t="s">
        <v>46</v>
      </c>
    </row>
    <row r="159" spans="1:21" x14ac:dyDescent="0.3">
      <c r="A159" s="10">
        <v>45936</v>
      </c>
      <c r="B159" t="s">
        <v>24</v>
      </c>
      <c r="C159" t="s">
        <v>30</v>
      </c>
      <c r="D159" s="11">
        <v>6859.94</v>
      </c>
      <c r="E159" s="11">
        <v>5427.28</v>
      </c>
      <c r="F159" s="12">
        <v>1426687</v>
      </c>
      <c r="G159" s="12">
        <v>48224</v>
      </c>
      <c r="H159" s="13">
        <f t="shared" si="12"/>
        <v>3.3801387410132708E-2</v>
      </c>
      <c r="I159">
        <v>0.11</v>
      </c>
      <c r="J159">
        <v>3.8</v>
      </c>
      <c r="K159">
        <f t="shared" si="13"/>
        <v>3.6360128830648133</v>
      </c>
      <c r="L159">
        <f t="shared" si="14"/>
        <v>2.6360128830648137</v>
      </c>
      <c r="M159">
        <f t="shared" si="15"/>
        <v>0</v>
      </c>
      <c r="N159" s="11">
        <f t="shared" si="16"/>
        <v>10.74708910891089</v>
      </c>
      <c r="O159" s="11">
        <f t="shared" si="17"/>
        <v>21.972793522267207</v>
      </c>
      <c r="P159" s="12">
        <v>505</v>
      </c>
      <c r="Q159">
        <v>247</v>
      </c>
      <c r="R159" s="14">
        <v>0.51</v>
      </c>
      <c r="S159" s="11">
        <v>19733.66</v>
      </c>
      <c r="T159" s="15">
        <v>263.60000000000002</v>
      </c>
      <c r="U159" t="s">
        <v>46</v>
      </c>
    </row>
    <row r="160" spans="1:21" x14ac:dyDescent="0.3">
      <c r="A160" s="10">
        <v>45936</v>
      </c>
      <c r="B160" t="s">
        <v>26</v>
      </c>
      <c r="C160" t="s">
        <v>27</v>
      </c>
      <c r="D160" s="11">
        <v>5701.04</v>
      </c>
      <c r="E160" s="11">
        <v>4375.24</v>
      </c>
      <c r="F160" s="12">
        <v>931747</v>
      </c>
      <c r="G160" s="12">
        <v>44471</v>
      </c>
      <c r="H160" s="13">
        <f t="shared" si="12"/>
        <v>4.7728621610802074E-2</v>
      </c>
      <c r="I160">
        <v>0.1</v>
      </c>
      <c r="J160">
        <v>4.7</v>
      </c>
      <c r="K160">
        <f t="shared" si="13"/>
        <v>1.6289734963110596</v>
      </c>
      <c r="L160">
        <f t="shared" si="14"/>
        <v>0.62897349631105948</v>
      </c>
      <c r="M160">
        <f t="shared" si="15"/>
        <v>0</v>
      </c>
      <c r="N160" s="11">
        <f t="shared" si="16"/>
        <v>3.2675429424943987</v>
      </c>
      <c r="O160" s="11">
        <f t="shared" si="17"/>
        <v>6.0515076071922538</v>
      </c>
      <c r="P160" s="12">
        <v>1339</v>
      </c>
      <c r="Q160">
        <v>723</v>
      </c>
      <c r="R160" s="14">
        <v>1.63</v>
      </c>
      <c r="S160" s="11">
        <v>7127.15</v>
      </c>
      <c r="T160" s="15">
        <v>62.9</v>
      </c>
      <c r="U160" t="s">
        <v>46</v>
      </c>
    </row>
    <row r="161" spans="1:21" x14ac:dyDescent="0.3">
      <c r="A161" s="10">
        <v>45936</v>
      </c>
      <c r="B161" t="s">
        <v>28</v>
      </c>
      <c r="C161" t="s">
        <v>35</v>
      </c>
      <c r="D161" s="11">
        <v>10434.200000000001</v>
      </c>
      <c r="E161" s="11">
        <v>9256.6200000000008</v>
      </c>
      <c r="F161" s="12">
        <v>685657</v>
      </c>
      <c r="G161" s="12">
        <v>11479</v>
      </c>
      <c r="H161" s="13">
        <f t="shared" si="12"/>
        <v>1.6741606955081038E-2</v>
      </c>
      <c r="I161">
        <v>0.81</v>
      </c>
      <c r="J161">
        <v>13.5</v>
      </c>
      <c r="K161">
        <f t="shared" si="13"/>
        <v>3.3039889290043232</v>
      </c>
      <c r="L161">
        <f t="shared" si="14"/>
        <v>2.3039889290043232</v>
      </c>
      <c r="M161">
        <f t="shared" si="15"/>
        <v>0</v>
      </c>
      <c r="N161" s="11">
        <f t="shared" si="16"/>
        <v>5.2564565587734249</v>
      </c>
      <c r="O161" s="11">
        <f t="shared" si="17"/>
        <v>34.157269372693733</v>
      </c>
      <c r="P161" s="12">
        <v>1761</v>
      </c>
      <c r="Q161">
        <v>271</v>
      </c>
      <c r="R161" s="14">
        <v>2.36</v>
      </c>
      <c r="S161" s="11">
        <v>30583.77</v>
      </c>
      <c r="T161" s="15">
        <v>230.4</v>
      </c>
      <c r="U161" t="s">
        <v>46</v>
      </c>
    </row>
    <row r="162" spans="1:21" x14ac:dyDescent="0.3">
      <c r="A162" s="10">
        <v>45943</v>
      </c>
      <c r="B162" t="s">
        <v>21</v>
      </c>
      <c r="C162" t="s">
        <v>37</v>
      </c>
      <c r="D162" s="11">
        <v>6641.82</v>
      </c>
      <c r="E162" s="11">
        <v>5893.51</v>
      </c>
      <c r="F162" s="12">
        <v>809831</v>
      </c>
      <c r="G162" s="12">
        <v>9462</v>
      </c>
      <c r="H162" s="13">
        <f t="shared" si="12"/>
        <v>1.1683919237470534E-2</v>
      </c>
      <c r="I162">
        <v>0.62</v>
      </c>
      <c r="J162">
        <v>7.28</v>
      </c>
      <c r="K162">
        <f t="shared" si="13"/>
        <v>1.9740612979362042</v>
      </c>
      <c r="L162">
        <f t="shared" si="14"/>
        <v>0.97406129793620422</v>
      </c>
      <c r="M162">
        <f t="shared" si="15"/>
        <v>0</v>
      </c>
      <c r="N162" s="11">
        <f t="shared" si="16"/>
        <v>17.805166163141994</v>
      </c>
      <c r="O162" s="11">
        <f t="shared" si="17"/>
        <v>19.776879194630872</v>
      </c>
      <c r="P162" s="12">
        <v>331</v>
      </c>
      <c r="Q162">
        <v>298</v>
      </c>
      <c r="R162" s="14">
        <v>3.15</v>
      </c>
      <c r="S162" s="11">
        <v>11634.15</v>
      </c>
      <c r="T162" s="15">
        <v>97.41</v>
      </c>
      <c r="U162" t="s">
        <v>46</v>
      </c>
    </row>
    <row r="163" spans="1:21" x14ac:dyDescent="0.3">
      <c r="A163" s="10">
        <v>45943</v>
      </c>
      <c r="B163" t="s">
        <v>24</v>
      </c>
      <c r="C163" t="s">
        <v>30</v>
      </c>
      <c r="D163" s="11">
        <v>4728.3900000000003</v>
      </c>
      <c r="E163" s="11">
        <v>4383.1499999999996</v>
      </c>
      <c r="F163" s="12">
        <v>1170944</v>
      </c>
      <c r="G163" s="12">
        <v>13250</v>
      </c>
      <c r="H163" s="13">
        <f t="shared" si="12"/>
        <v>1.1315656427634456E-2</v>
      </c>
      <c r="I163">
        <v>0.33</v>
      </c>
      <c r="J163">
        <v>3.74</v>
      </c>
      <c r="K163">
        <f t="shared" si="13"/>
        <v>1.600248679602569</v>
      </c>
      <c r="L163">
        <f t="shared" si="14"/>
        <v>0.60024867960256911</v>
      </c>
      <c r="M163">
        <f t="shared" si="15"/>
        <v>0</v>
      </c>
      <c r="N163" s="11">
        <f t="shared" si="16"/>
        <v>4.0028767123287672</v>
      </c>
      <c r="O163" s="11">
        <f t="shared" si="17"/>
        <v>13.12320359281437</v>
      </c>
      <c r="P163" s="12">
        <v>1095</v>
      </c>
      <c r="Q163">
        <v>334</v>
      </c>
      <c r="R163" s="14">
        <v>2.52</v>
      </c>
      <c r="S163" s="11">
        <v>7014.13</v>
      </c>
      <c r="T163" s="15">
        <v>60.02</v>
      </c>
      <c r="U163" t="s">
        <v>46</v>
      </c>
    </row>
    <row r="164" spans="1:21" x14ac:dyDescent="0.3">
      <c r="A164" s="10">
        <v>45943</v>
      </c>
      <c r="B164" t="s">
        <v>26</v>
      </c>
      <c r="C164" t="s">
        <v>27</v>
      </c>
      <c r="D164" s="11">
        <v>11865.76</v>
      </c>
      <c r="E164" s="11">
        <v>10959.3</v>
      </c>
      <c r="F164" s="12">
        <v>272468</v>
      </c>
      <c r="G164" s="12">
        <v>42628</v>
      </c>
      <c r="H164" s="13">
        <f t="shared" si="12"/>
        <v>0.15645139979740741</v>
      </c>
      <c r="I164">
        <v>0.26</v>
      </c>
      <c r="J164">
        <v>40.22</v>
      </c>
      <c r="K164">
        <f t="shared" si="13"/>
        <v>2.3292865420236692</v>
      </c>
      <c r="L164">
        <f t="shared" si="14"/>
        <v>1.3292865420236695</v>
      </c>
      <c r="M164">
        <f t="shared" si="15"/>
        <v>0</v>
      </c>
      <c r="N164" s="11">
        <f t="shared" si="16"/>
        <v>11.64643995749203</v>
      </c>
      <c r="O164" s="11">
        <f t="shared" si="17"/>
        <v>12.299999999999999</v>
      </c>
      <c r="P164" s="12">
        <v>941</v>
      </c>
      <c r="Q164">
        <v>891</v>
      </c>
      <c r="R164" s="14">
        <v>2.09</v>
      </c>
      <c r="S164" s="11">
        <v>25527.35</v>
      </c>
      <c r="T164" s="15">
        <v>132.93</v>
      </c>
      <c r="U164" t="s">
        <v>46</v>
      </c>
    </row>
    <row r="165" spans="1:21" x14ac:dyDescent="0.3">
      <c r="A165" s="10">
        <v>45943</v>
      </c>
      <c r="B165" t="s">
        <v>28</v>
      </c>
      <c r="C165" t="s">
        <v>35</v>
      </c>
      <c r="D165" s="11">
        <v>8030.05</v>
      </c>
      <c r="E165" s="11">
        <v>7715.03</v>
      </c>
      <c r="F165" s="12">
        <v>1084489</v>
      </c>
      <c r="G165" s="12">
        <v>59012</v>
      </c>
      <c r="H165" s="13">
        <f t="shared" si="12"/>
        <v>5.4414567598196018E-2</v>
      </c>
      <c r="I165">
        <v>0.13</v>
      </c>
      <c r="J165">
        <v>7.11</v>
      </c>
      <c r="K165">
        <f t="shared" si="13"/>
        <v>1.702055597969159</v>
      </c>
      <c r="L165">
        <f t="shared" si="14"/>
        <v>0.70205559796915895</v>
      </c>
      <c r="M165">
        <f t="shared" si="15"/>
        <v>0</v>
      </c>
      <c r="N165" s="11">
        <f t="shared" si="16"/>
        <v>38.768994974874367</v>
      </c>
      <c r="O165" s="11">
        <f t="shared" si="17"/>
        <v>40.392827225130887</v>
      </c>
      <c r="P165" s="12">
        <v>199</v>
      </c>
      <c r="Q165">
        <v>191</v>
      </c>
      <c r="R165" s="14">
        <v>0.32</v>
      </c>
      <c r="S165" s="11">
        <v>13131.41</v>
      </c>
      <c r="T165" s="15">
        <v>70.209999999999994</v>
      </c>
      <c r="U165" t="s">
        <v>46</v>
      </c>
    </row>
    <row r="166" spans="1:21" x14ac:dyDescent="0.3">
      <c r="A166" s="10">
        <v>45950</v>
      </c>
      <c r="B166" t="s">
        <v>21</v>
      </c>
      <c r="C166" t="s">
        <v>37</v>
      </c>
      <c r="D166" s="11">
        <v>6248.57</v>
      </c>
      <c r="E166" s="11">
        <v>4914.33</v>
      </c>
      <c r="F166" s="12">
        <v>771255</v>
      </c>
      <c r="G166" s="12">
        <v>24231</v>
      </c>
      <c r="H166" s="13">
        <f t="shared" si="12"/>
        <v>3.1417624521072794E-2</v>
      </c>
      <c r="I166">
        <v>0.2</v>
      </c>
      <c r="J166">
        <v>6.37</v>
      </c>
      <c r="K166">
        <f t="shared" si="13"/>
        <v>3.7431470821047839</v>
      </c>
      <c r="L166">
        <f t="shared" si="14"/>
        <v>2.7431470821047839</v>
      </c>
      <c r="M166">
        <f t="shared" si="15"/>
        <v>0</v>
      </c>
      <c r="N166" s="11">
        <f t="shared" si="16"/>
        <v>2.5987995769434162</v>
      </c>
      <c r="O166" s="11">
        <f t="shared" si="17"/>
        <v>63.822467532467535</v>
      </c>
      <c r="P166" s="12">
        <v>1891</v>
      </c>
      <c r="Q166">
        <v>77</v>
      </c>
      <c r="R166" s="14">
        <v>0.32</v>
      </c>
      <c r="S166" s="11">
        <v>18395.060000000001</v>
      </c>
      <c r="T166" s="15">
        <v>274.31</v>
      </c>
      <c r="U166" t="s">
        <v>46</v>
      </c>
    </row>
    <row r="167" spans="1:21" x14ac:dyDescent="0.3">
      <c r="A167" s="10">
        <v>45950</v>
      </c>
      <c r="B167" t="s">
        <v>24</v>
      </c>
      <c r="C167" t="s">
        <v>33</v>
      </c>
      <c r="D167" s="11">
        <v>5330.09</v>
      </c>
      <c r="E167" s="11">
        <v>4501.79</v>
      </c>
      <c r="F167" s="12">
        <v>888847</v>
      </c>
      <c r="G167" s="12">
        <v>56257</v>
      </c>
      <c r="H167" s="13">
        <f t="shared" si="12"/>
        <v>6.3292107640572567E-2</v>
      </c>
      <c r="I167">
        <v>0.08</v>
      </c>
      <c r="J167">
        <v>5.0599999999999996</v>
      </c>
      <c r="K167">
        <f t="shared" si="13"/>
        <v>4.1035343718831845</v>
      </c>
      <c r="L167">
        <f t="shared" si="14"/>
        <v>3.103534371883184</v>
      </c>
      <c r="M167">
        <f t="shared" si="15"/>
        <v>0</v>
      </c>
      <c r="N167" s="11">
        <f t="shared" si="16"/>
        <v>1.1686889927310489</v>
      </c>
      <c r="O167" s="11">
        <f t="shared" si="17"/>
        <v>1.5980795172168973</v>
      </c>
      <c r="P167" s="12">
        <v>3852</v>
      </c>
      <c r="Q167">
        <v>2817</v>
      </c>
      <c r="R167" s="14">
        <v>5.01</v>
      </c>
      <c r="S167" s="11">
        <v>18473.25</v>
      </c>
      <c r="T167" s="15">
        <v>310.35000000000002</v>
      </c>
      <c r="U167" t="s">
        <v>46</v>
      </c>
    </row>
    <row r="168" spans="1:21" x14ac:dyDescent="0.3">
      <c r="A168" s="10">
        <v>45950</v>
      </c>
      <c r="B168" t="s">
        <v>26</v>
      </c>
      <c r="C168" t="s">
        <v>36</v>
      </c>
      <c r="D168" s="11">
        <v>9745.1200000000008</v>
      </c>
      <c r="E168" s="11">
        <v>8390.6299999999992</v>
      </c>
      <c r="F168" s="12">
        <v>948369</v>
      </c>
      <c r="G168" s="12">
        <v>24109</v>
      </c>
      <c r="H168" s="13">
        <f t="shared" si="12"/>
        <v>2.5421539506247041E-2</v>
      </c>
      <c r="I168">
        <v>0.35</v>
      </c>
      <c r="J168">
        <v>8.85</v>
      </c>
      <c r="K168">
        <f t="shared" si="13"/>
        <v>4.7898918198037572</v>
      </c>
      <c r="L168">
        <f t="shared" si="14"/>
        <v>3.7898918198037577</v>
      </c>
      <c r="M168">
        <f t="shared" si="15"/>
        <v>0</v>
      </c>
      <c r="N168" s="11">
        <f t="shared" si="16"/>
        <v>4.4394867724867719</v>
      </c>
      <c r="O168" s="11">
        <f t="shared" si="17"/>
        <v>8.3738822355289422</v>
      </c>
      <c r="P168" s="12">
        <v>1890</v>
      </c>
      <c r="Q168">
        <v>1002</v>
      </c>
      <c r="R168" s="14">
        <v>4.16</v>
      </c>
      <c r="S168" s="11">
        <v>40190.21</v>
      </c>
      <c r="T168" s="15">
        <v>378.99</v>
      </c>
      <c r="U168" t="s">
        <v>46</v>
      </c>
    </row>
    <row r="169" spans="1:21" x14ac:dyDescent="0.3">
      <c r="A169" s="10">
        <v>45950</v>
      </c>
      <c r="B169" t="s">
        <v>28</v>
      </c>
      <c r="C169" t="s">
        <v>35</v>
      </c>
      <c r="D169" s="11">
        <v>11982.88</v>
      </c>
      <c r="E169" s="11">
        <v>10087.91</v>
      </c>
      <c r="F169" s="12">
        <v>125288</v>
      </c>
      <c r="G169" s="12">
        <v>38624</v>
      </c>
      <c r="H169" s="13">
        <f t="shared" si="12"/>
        <v>0.3082817189196092</v>
      </c>
      <c r="I169">
        <v>0.26</v>
      </c>
      <c r="J169">
        <v>80.52</v>
      </c>
      <c r="K169">
        <f t="shared" si="13"/>
        <v>2.1208297853569276</v>
      </c>
      <c r="L169">
        <f t="shared" si="14"/>
        <v>1.1208297853569273</v>
      </c>
      <c r="M169">
        <f t="shared" si="15"/>
        <v>0</v>
      </c>
      <c r="N169" s="11">
        <f t="shared" si="16"/>
        <v>4.875741904301595</v>
      </c>
      <c r="O169" s="11">
        <f t="shared" si="17"/>
        <v>8.1485541195476578</v>
      </c>
      <c r="P169" s="12">
        <v>2069</v>
      </c>
      <c r="Q169">
        <v>1238</v>
      </c>
      <c r="R169" s="14">
        <v>3.21</v>
      </c>
      <c r="S169" s="11">
        <v>21394.74</v>
      </c>
      <c r="T169" s="15">
        <v>112.08</v>
      </c>
      <c r="U169" t="s">
        <v>46</v>
      </c>
    </row>
    <row r="170" spans="1:21" x14ac:dyDescent="0.3">
      <c r="A170" s="10">
        <v>45957</v>
      </c>
      <c r="B170" t="s">
        <v>21</v>
      </c>
      <c r="C170" t="s">
        <v>22</v>
      </c>
      <c r="D170" s="11">
        <v>10892.04</v>
      </c>
      <c r="E170" s="11">
        <v>9004.36</v>
      </c>
      <c r="F170" s="12">
        <v>1024386</v>
      </c>
      <c r="G170" s="12">
        <v>59773</v>
      </c>
      <c r="H170" s="13">
        <f t="shared" si="12"/>
        <v>5.8350075069358617E-2</v>
      </c>
      <c r="I170">
        <v>0.15</v>
      </c>
      <c r="J170">
        <v>8.7899999999999991</v>
      </c>
      <c r="K170">
        <f t="shared" si="13"/>
        <v>1.9539123269171821</v>
      </c>
      <c r="L170">
        <f t="shared" si="14"/>
        <v>0.9539123269171822</v>
      </c>
      <c r="M170">
        <f t="shared" si="15"/>
        <v>0</v>
      </c>
      <c r="N170" s="11">
        <f t="shared" si="16"/>
        <v>3.6918245182451828</v>
      </c>
      <c r="O170" s="11">
        <f t="shared" si="17"/>
        <v>14.665081433224756</v>
      </c>
      <c r="P170" s="12">
        <v>2439</v>
      </c>
      <c r="Q170">
        <v>614</v>
      </c>
      <c r="R170" s="14">
        <v>1.03</v>
      </c>
      <c r="S170" s="11">
        <v>17593.73</v>
      </c>
      <c r="T170" s="15">
        <v>95.39</v>
      </c>
      <c r="U170" t="s">
        <v>46</v>
      </c>
    </row>
    <row r="171" spans="1:21" x14ac:dyDescent="0.3">
      <c r="A171" s="10">
        <v>45957</v>
      </c>
      <c r="B171" t="s">
        <v>24</v>
      </c>
      <c r="C171" t="s">
        <v>30</v>
      </c>
      <c r="D171" s="11">
        <v>3175.55</v>
      </c>
      <c r="E171" s="11">
        <v>2504.08</v>
      </c>
      <c r="F171" s="12">
        <v>990923</v>
      </c>
      <c r="G171" s="12">
        <v>38644</v>
      </c>
      <c r="H171" s="13">
        <f t="shared" si="12"/>
        <v>3.8997984707187135E-2</v>
      </c>
      <c r="I171">
        <v>0.06</v>
      </c>
      <c r="J171">
        <v>2.5299999999999998</v>
      </c>
      <c r="K171">
        <f t="shared" si="13"/>
        <v>3.5125874572697358</v>
      </c>
      <c r="L171">
        <f t="shared" si="14"/>
        <v>2.5125874572697358</v>
      </c>
      <c r="M171">
        <f t="shared" si="15"/>
        <v>0</v>
      </c>
      <c r="N171" s="11">
        <f t="shared" si="16"/>
        <v>2.2579621280432822</v>
      </c>
      <c r="O171" s="11">
        <f t="shared" si="17"/>
        <v>4.8812475633528267</v>
      </c>
      <c r="P171" s="12">
        <v>1109</v>
      </c>
      <c r="Q171">
        <v>513</v>
      </c>
      <c r="R171" s="14">
        <v>1.33</v>
      </c>
      <c r="S171" s="11">
        <v>8795.7999999999993</v>
      </c>
      <c r="T171" s="15">
        <v>251.26</v>
      </c>
      <c r="U171" t="s">
        <v>46</v>
      </c>
    </row>
    <row r="172" spans="1:21" x14ac:dyDescent="0.3">
      <c r="A172" s="10">
        <v>45957</v>
      </c>
      <c r="B172" t="s">
        <v>26</v>
      </c>
      <c r="C172" t="s">
        <v>27</v>
      </c>
      <c r="D172" s="11">
        <v>4682.87</v>
      </c>
      <c r="E172" s="11">
        <v>4511.75</v>
      </c>
      <c r="F172" s="12">
        <v>1150527</v>
      </c>
      <c r="G172" s="12">
        <v>52506</v>
      </c>
      <c r="H172" s="13">
        <f t="shared" si="12"/>
        <v>4.5636477892305002E-2</v>
      </c>
      <c r="I172">
        <v>0.09</v>
      </c>
      <c r="J172">
        <v>3.92</v>
      </c>
      <c r="K172">
        <f t="shared" si="13"/>
        <v>2.776120130769657</v>
      </c>
      <c r="L172">
        <f t="shared" si="14"/>
        <v>1.776120130769657</v>
      </c>
      <c r="M172">
        <f t="shared" si="15"/>
        <v>0</v>
      </c>
      <c r="N172" s="11">
        <f t="shared" si="16"/>
        <v>7.8193240901213175</v>
      </c>
      <c r="O172" s="11">
        <f t="shared" si="17"/>
        <v>12.567548746518106</v>
      </c>
      <c r="P172" s="12">
        <v>577</v>
      </c>
      <c r="Q172">
        <v>359</v>
      </c>
      <c r="R172" s="14">
        <v>0.68</v>
      </c>
      <c r="S172" s="11">
        <v>12525.16</v>
      </c>
      <c r="T172" s="15">
        <v>177.61</v>
      </c>
      <c r="U172" t="s">
        <v>46</v>
      </c>
    </row>
    <row r="173" spans="1:21" x14ac:dyDescent="0.3">
      <c r="A173" s="10">
        <v>45957</v>
      </c>
      <c r="B173" t="s">
        <v>28</v>
      </c>
      <c r="C173" t="s">
        <v>31</v>
      </c>
      <c r="D173" s="11">
        <v>11378.85</v>
      </c>
      <c r="E173" s="11">
        <v>9705.35</v>
      </c>
      <c r="F173" s="12">
        <v>317437</v>
      </c>
      <c r="G173" s="12">
        <v>5377</v>
      </c>
      <c r="H173" s="13">
        <f t="shared" si="12"/>
        <v>1.6938794154430642E-2</v>
      </c>
      <c r="I173">
        <v>1.8</v>
      </c>
      <c r="J173">
        <v>30.57</v>
      </c>
      <c r="K173">
        <f t="shared" si="13"/>
        <v>4.2144281246941118</v>
      </c>
      <c r="L173">
        <f t="shared" si="14"/>
        <v>3.2144281246941122</v>
      </c>
      <c r="M173">
        <f t="shared" si="15"/>
        <v>0</v>
      </c>
      <c r="N173" s="11">
        <f t="shared" si="16"/>
        <v>7.2320044709388975</v>
      </c>
      <c r="O173" s="11">
        <f t="shared" si="17"/>
        <v>13.186616847826087</v>
      </c>
      <c r="P173" s="12">
        <v>1342</v>
      </c>
      <c r="Q173">
        <v>736</v>
      </c>
      <c r="R173" s="14">
        <v>13.69</v>
      </c>
      <c r="S173" s="11">
        <v>40902.5</v>
      </c>
      <c r="T173" s="15">
        <v>321.44</v>
      </c>
      <c r="U173" t="s">
        <v>46</v>
      </c>
    </row>
    <row r="174" spans="1:21" x14ac:dyDescent="0.3">
      <c r="A174" s="10">
        <v>45964</v>
      </c>
      <c r="B174" t="s">
        <v>21</v>
      </c>
      <c r="C174" t="s">
        <v>22</v>
      </c>
      <c r="D174" s="11">
        <v>9155.6299999999992</v>
      </c>
      <c r="E174" s="11">
        <v>8609.7199999999993</v>
      </c>
      <c r="F174" s="12">
        <v>163505</v>
      </c>
      <c r="G174" s="12">
        <v>27646</v>
      </c>
      <c r="H174" s="13">
        <f t="shared" si="12"/>
        <v>0.1690835142656188</v>
      </c>
      <c r="I174">
        <v>0.31</v>
      </c>
      <c r="J174">
        <v>52.66</v>
      </c>
      <c r="K174">
        <f t="shared" si="13"/>
        <v>1.2539559939231473</v>
      </c>
      <c r="L174">
        <f t="shared" si="14"/>
        <v>0.25395599392314733</v>
      </c>
      <c r="M174">
        <f t="shared" si="15"/>
        <v>0</v>
      </c>
      <c r="N174" s="11">
        <f t="shared" si="16"/>
        <v>2.8556285240464341</v>
      </c>
      <c r="O174" s="11">
        <f t="shared" si="17"/>
        <v>4.1512632594021213</v>
      </c>
      <c r="P174" s="12">
        <v>3015</v>
      </c>
      <c r="Q174">
        <v>2074</v>
      </c>
      <c r="R174" s="14">
        <v>7.5</v>
      </c>
      <c r="S174" s="11">
        <v>10796.21</v>
      </c>
      <c r="T174" s="15">
        <v>25.4</v>
      </c>
      <c r="U174" t="s">
        <v>47</v>
      </c>
    </row>
    <row r="175" spans="1:21" x14ac:dyDescent="0.3">
      <c r="A175" s="10">
        <v>45964</v>
      </c>
      <c r="B175" t="s">
        <v>24</v>
      </c>
      <c r="C175" t="s">
        <v>30</v>
      </c>
      <c r="D175" s="11">
        <v>4003.18</v>
      </c>
      <c r="E175" s="11">
        <v>3866.23</v>
      </c>
      <c r="F175" s="12">
        <v>257043</v>
      </c>
      <c r="G175" s="12">
        <v>8204</v>
      </c>
      <c r="H175" s="13">
        <f t="shared" si="12"/>
        <v>3.1916838816851652E-2</v>
      </c>
      <c r="I175">
        <v>0.47</v>
      </c>
      <c r="J175">
        <v>15.04</v>
      </c>
      <c r="K175">
        <f t="shared" si="13"/>
        <v>2.7133978061315549</v>
      </c>
      <c r="L175">
        <f t="shared" si="14"/>
        <v>1.7133978061315549</v>
      </c>
      <c r="M175">
        <f t="shared" si="15"/>
        <v>0</v>
      </c>
      <c r="N175" s="11">
        <f t="shared" si="16"/>
        <v>2.1431430155210642</v>
      </c>
      <c r="O175" s="11">
        <f t="shared" si="17"/>
        <v>4.1130106382978724</v>
      </c>
      <c r="P175" s="12">
        <v>1804</v>
      </c>
      <c r="Q175">
        <v>940</v>
      </c>
      <c r="R175" s="14">
        <v>11.46</v>
      </c>
      <c r="S175" s="11">
        <v>10490.62</v>
      </c>
      <c r="T175" s="15">
        <v>171.34</v>
      </c>
      <c r="U175" t="s">
        <v>47</v>
      </c>
    </row>
    <row r="176" spans="1:21" x14ac:dyDescent="0.3">
      <c r="A176" s="10">
        <v>45964</v>
      </c>
      <c r="B176" t="s">
        <v>26</v>
      </c>
      <c r="C176" t="s">
        <v>36</v>
      </c>
      <c r="D176" s="11">
        <v>11895.64</v>
      </c>
      <c r="E176" s="11">
        <v>9020.49</v>
      </c>
      <c r="F176" s="12">
        <v>903652</v>
      </c>
      <c r="G176" s="12">
        <v>12757</v>
      </c>
      <c r="H176" s="13">
        <f t="shared" si="12"/>
        <v>1.4117160145719813E-2</v>
      </c>
      <c r="I176">
        <v>0.71</v>
      </c>
      <c r="J176">
        <v>9.98</v>
      </c>
      <c r="K176">
        <f t="shared" si="13"/>
        <v>4.2634635147314617</v>
      </c>
      <c r="L176">
        <f t="shared" si="14"/>
        <v>3.2634635147314617</v>
      </c>
      <c r="M176">
        <f t="shared" si="15"/>
        <v>0</v>
      </c>
      <c r="N176" s="11">
        <f t="shared" si="16"/>
        <v>2.9183079909414427</v>
      </c>
      <c r="O176" s="11">
        <f t="shared" si="17"/>
        <v>5.205129832660127</v>
      </c>
      <c r="P176" s="12">
        <v>3091</v>
      </c>
      <c r="Q176">
        <v>1733</v>
      </c>
      <c r="R176" s="14">
        <v>13.58</v>
      </c>
      <c r="S176" s="11">
        <v>38458.53</v>
      </c>
      <c r="T176" s="15">
        <v>326.35000000000002</v>
      </c>
      <c r="U176" t="s">
        <v>47</v>
      </c>
    </row>
    <row r="177" spans="1:21" x14ac:dyDescent="0.3">
      <c r="A177" s="10">
        <v>45964</v>
      </c>
      <c r="B177" t="s">
        <v>28</v>
      </c>
      <c r="C177" t="s">
        <v>29</v>
      </c>
      <c r="D177" s="11">
        <v>8884.15</v>
      </c>
      <c r="E177" s="11">
        <v>8703.1299999999992</v>
      </c>
      <c r="F177" s="12">
        <v>186674</v>
      </c>
      <c r="G177" s="12">
        <v>11329</v>
      </c>
      <c r="H177" s="13">
        <f t="shared" si="12"/>
        <v>6.0688687230144533E-2</v>
      </c>
      <c r="I177">
        <v>0.77</v>
      </c>
      <c r="J177">
        <v>46.62</v>
      </c>
      <c r="K177">
        <f t="shared" si="13"/>
        <v>2.3519205159523069</v>
      </c>
      <c r="L177">
        <f t="shared" si="14"/>
        <v>1.3519205159523069</v>
      </c>
      <c r="M177">
        <f t="shared" si="15"/>
        <v>0</v>
      </c>
      <c r="N177" s="11">
        <f t="shared" si="16"/>
        <v>4.4723175745118189</v>
      </c>
      <c r="O177" s="11">
        <f t="shared" si="17"/>
        <v>6.0438402777777771</v>
      </c>
      <c r="P177" s="12">
        <v>1946</v>
      </c>
      <c r="Q177">
        <v>1440</v>
      </c>
      <c r="R177" s="14">
        <v>12.71</v>
      </c>
      <c r="S177" s="11">
        <v>20469.07</v>
      </c>
      <c r="T177" s="15">
        <v>135.19</v>
      </c>
      <c r="U177" t="s">
        <v>47</v>
      </c>
    </row>
    <row r="178" spans="1:21" x14ac:dyDescent="0.3">
      <c r="A178" s="10">
        <v>45971</v>
      </c>
      <c r="B178" t="s">
        <v>21</v>
      </c>
      <c r="C178" t="s">
        <v>32</v>
      </c>
      <c r="D178" s="11">
        <v>11516.46</v>
      </c>
      <c r="E178" s="11">
        <v>10925.39</v>
      </c>
      <c r="F178" s="12">
        <v>887492</v>
      </c>
      <c r="G178" s="12">
        <v>41858</v>
      </c>
      <c r="H178" s="13">
        <f t="shared" si="12"/>
        <v>4.7164368805577964E-2</v>
      </c>
      <c r="I178">
        <v>0.26</v>
      </c>
      <c r="J178">
        <v>12.31</v>
      </c>
      <c r="K178">
        <f t="shared" si="13"/>
        <v>3.5650242233915677</v>
      </c>
      <c r="L178">
        <f t="shared" si="14"/>
        <v>2.5650242233915677</v>
      </c>
      <c r="M178">
        <f t="shared" si="15"/>
        <v>0</v>
      </c>
      <c r="N178" s="11">
        <f t="shared" si="16"/>
        <v>3.3993123833229619</v>
      </c>
      <c r="O178" s="11">
        <f t="shared" si="17"/>
        <v>3.928583243437612</v>
      </c>
      <c r="P178" s="12">
        <v>3214</v>
      </c>
      <c r="Q178">
        <v>2781</v>
      </c>
      <c r="R178" s="14">
        <v>6.64</v>
      </c>
      <c r="S178" s="11">
        <v>38949.279999999999</v>
      </c>
      <c r="T178" s="15">
        <v>256.5</v>
      </c>
      <c r="U178" t="s">
        <v>47</v>
      </c>
    </row>
    <row r="179" spans="1:21" x14ac:dyDescent="0.3">
      <c r="A179" s="10">
        <v>45971</v>
      </c>
      <c r="B179" t="s">
        <v>24</v>
      </c>
      <c r="C179" t="s">
        <v>33</v>
      </c>
      <c r="D179" s="11">
        <v>9322.7999999999993</v>
      </c>
      <c r="E179" s="11">
        <v>7590.24</v>
      </c>
      <c r="F179" s="12">
        <v>1219950</v>
      </c>
      <c r="G179" s="12">
        <v>38581</v>
      </c>
      <c r="H179" s="13">
        <f t="shared" si="12"/>
        <v>3.1625066601090206E-2</v>
      </c>
      <c r="I179">
        <v>0.2</v>
      </c>
      <c r="J179">
        <v>6.22</v>
      </c>
      <c r="K179">
        <f t="shared" si="13"/>
        <v>3.5253549294883957</v>
      </c>
      <c r="L179">
        <f t="shared" si="14"/>
        <v>2.5253549294883961</v>
      </c>
      <c r="M179">
        <f t="shared" si="15"/>
        <v>0</v>
      </c>
      <c r="N179" s="11">
        <f t="shared" si="16"/>
        <v>3.3378364116094987</v>
      </c>
      <c r="O179" s="11">
        <f t="shared" si="17"/>
        <v>52.71</v>
      </c>
      <c r="P179" s="12">
        <v>2274</v>
      </c>
      <c r="Q179">
        <v>144</v>
      </c>
      <c r="R179" s="14">
        <v>0.37</v>
      </c>
      <c r="S179" s="11">
        <v>26758.29</v>
      </c>
      <c r="T179" s="15">
        <v>252.54</v>
      </c>
      <c r="U179" t="s">
        <v>47</v>
      </c>
    </row>
    <row r="180" spans="1:21" x14ac:dyDescent="0.3">
      <c r="A180" s="10">
        <v>45971</v>
      </c>
      <c r="B180" t="s">
        <v>26</v>
      </c>
      <c r="C180" t="s">
        <v>34</v>
      </c>
      <c r="D180" s="11">
        <v>11026.91</v>
      </c>
      <c r="E180" s="11">
        <v>8552.83</v>
      </c>
      <c r="F180" s="12">
        <v>1490486</v>
      </c>
      <c r="G180" s="12">
        <v>26243</v>
      </c>
      <c r="H180" s="13">
        <f t="shared" si="12"/>
        <v>1.7607008720645481E-2</v>
      </c>
      <c r="I180">
        <v>0.33</v>
      </c>
      <c r="J180">
        <v>5.74</v>
      </c>
      <c r="K180">
        <f t="shared" si="13"/>
        <v>2.016552415983949</v>
      </c>
      <c r="L180">
        <f t="shared" si="14"/>
        <v>1.0165524159839492</v>
      </c>
      <c r="M180">
        <f t="shared" si="15"/>
        <v>0</v>
      </c>
      <c r="N180" s="11">
        <f t="shared" si="16"/>
        <v>2.4726308181555363</v>
      </c>
      <c r="O180" s="11">
        <f t="shared" si="17"/>
        <v>4.8873314285714287</v>
      </c>
      <c r="P180" s="12">
        <v>3459</v>
      </c>
      <c r="Q180">
        <v>1750</v>
      </c>
      <c r="R180" s="14">
        <v>6.67</v>
      </c>
      <c r="S180" s="11">
        <v>17247.23</v>
      </c>
      <c r="T180" s="15">
        <v>101.66</v>
      </c>
      <c r="U180" t="s">
        <v>47</v>
      </c>
    </row>
    <row r="181" spans="1:21" x14ac:dyDescent="0.3">
      <c r="A181" s="10">
        <v>45971</v>
      </c>
      <c r="B181" t="s">
        <v>28</v>
      </c>
      <c r="C181" t="s">
        <v>31</v>
      </c>
      <c r="D181" s="11">
        <v>9861.2099999999991</v>
      </c>
      <c r="E181" s="11">
        <v>7755.81</v>
      </c>
      <c r="F181" s="12">
        <v>867069</v>
      </c>
      <c r="G181" s="12">
        <v>34660</v>
      </c>
      <c r="H181" s="13">
        <f t="shared" si="12"/>
        <v>3.9973750647295657E-2</v>
      </c>
      <c r="I181">
        <v>0.22</v>
      </c>
      <c r="J181">
        <v>8.94</v>
      </c>
      <c r="K181">
        <f t="shared" si="13"/>
        <v>4.6247729121780958</v>
      </c>
      <c r="L181">
        <f t="shared" si="14"/>
        <v>3.6247729121780958</v>
      </c>
      <c r="M181">
        <f t="shared" si="15"/>
        <v>0</v>
      </c>
      <c r="N181" s="11">
        <f t="shared" si="16"/>
        <v>2.7928736046092908</v>
      </c>
      <c r="O181" s="11">
        <f t="shared" si="17"/>
        <v>20.68216</v>
      </c>
      <c r="P181" s="12">
        <v>2777</v>
      </c>
      <c r="Q181">
        <v>375</v>
      </c>
      <c r="R181" s="14">
        <v>1.08</v>
      </c>
      <c r="S181" s="11">
        <v>35868.86</v>
      </c>
      <c r="T181" s="15">
        <v>362.48</v>
      </c>
      <c r="U181" t="s">
        <v>47</v>
      </c>
    </row>
    <row r="182" spans="1:21" x14ac:dyDescent="0.3">
      <c r="A182" s="10">
        <v>45978</v>
      </c>
      <c r="B182" t="s">
        <v>21</v>
      </c>
      <c r="C182" t="s">
        <v>32</v>
      </c>
      <c r="D182" s="11">
        <v>4540.6499999999996</v>
      </c>
      <c r="E182" s="11">
        <v>3506.76</v>
      </c>
      <c r="F182" s="12">
        <v>161023</v>
      </c>
      <c r="G182" s="12">
        <v>8103</v>
      </c>
      <c r="H182" s="13">
        <f t="shared" si="12"/>
        <v>5.0322003688914006E-2</v>
      </c>
      <c r="I182">
        <v>0.43</v>
      </c>
      <c r="J182">
        <v>21.78</v>
      </c>
      <c r="K182">
        <f t="shared" si="13"/>
        <v>4.4027677970548309</v>
      </c>
      <c r="L182">
        <f t="shared" si="14"/>
        <v>3.4027677970548313</v>
      </c>
      <c r="M182">
        <f t="shared" si="15"/>
        <v>0</v>
      </c>
      <c r="N182" s="11">
        <f t="shared" si="16"/>
        <v>0.9615464765560735</v>
      </c>
      <c r="O182" s="11">
        <f t="shared" si="17"/>
        <v>2.3055621301775151</v>
      </c>
      <c r="P182" s="12">
        <v>3647</v>
      </c>
      <c r="Q182">
        <v>1521</v>
      </c>
      <c r="R182" s="14">
        <v>18.77</v>
      </c>
      <c r="S182" s="11">
        <v>15439.45</v>
      </c>
      <c r="T182" s="15">
        <v>340.28</v>
      </c>
      <c r="U182" t="s">
        <v>47</v>
      </c>
    </row>
    <row r="183" spans="1:21" x14ac:dyDescent="0.3">
      <c r="A183" s="10">
        <v>45978</v>
      </c>
      <c r="B183" t="s">
        <v>24</v>
      </c>
      <c r="C183" t="s">
        <v>33</v>
      </c>
      <c r="D183" s="11">
        <v>10373.049999999999</v>
      </c>
      <c r="E183" s="11">
        <v>9139.94</v>
      </c>
      <c r="F183" s="12">
        <v>1371289</v>
      </c>
      <c r="G183" s="12">
        <v>28102</v>
      </c>
      <c r="H183" s="13">
        <f t="shared" si="12"/>
        <v>2.0493127269306469E-2</v>
      </c>
      <c r="I183">
        <v>0.33</v>
      </c>
      <c r="J183">
        <v>6.67</v>
      </c>
      <c r="K183">
        <f t="shared" si="13"/>
        <v>2.7968454935152747</v>
      </c>
      <c r="L183">
        <f t="shared" si="14"/>
        <v>1.7968454935152745</v>
      </c>
      <c r="M183">
        <f t="shared" si="15"/>
        <v>0</v>
      </c>
      <c r="N183" s="11">
        <f t="shared" si="16"/>
        <v>3.0784573930616372</v>
      </c>
      <c r="O183" s="11">
        <f t="shared" si="17"/>
        <v>4.5540308918784254</v>
      </c>
      <c r="P183" s="12">
        <v>2969</v>
      </c>
      <c r="Q183">
        <v>2007</v>
      </c>
      <c r="R183" s="14">
        <v>7.14</v>
      </c>
      <c r="S183" s="11">
        <v>25563</v>
      </c>
      <c r="T183" s="15">
        <v>179.68</v>
      </c>
      <c r="U183" t="s">
        <v>47</v>
      </c>
    </row>
    <row r="184" spans="1:21" x14ac:dyDescent="0.3">
      <c r="A184" s="10">
        <v>45978</v>
      </c>
      <c r="B184" t="s">
        <v>26</v>
      </c>
      <c r="C184" t="s">
        <v>27</v>
      </c>
      <c r="D184" s="11">
        <v>6531.59</v>
      </c>
      <c r="E184" s="11">
        <v>5517.49</v>
      </c>
      <c r="F184" s="12">
        <v>153548</v>
      </c>
      <c r="G184" s="12">
        <v>14675</v>
      </c>
      <c r="H184" s="13">
        <f t="shared" si="12"/>
        <v>9.5572719931226721E-2</v>
      </c>
      <c r="I184">
        <v>0.38</v>
      </c>
      <c r="J184">
        <v>35.93</v>
      </c>
      <c r="K184">
        <f t="shared" si="13"/>
        <v>2.0382710254119174</v>
      </c>
      <c r="L184">
        <f t="shared" si="14"/>
        <v>1.0382710254119174</v>
      </c>
      <c r="M184">
        <f t="shared" si="15"/>
        <v>0</v>
      </c>
      <c r="N184" s="11">
        <f t="shared" si="16"/>
        <v>4.0779674796747969</v>
      </c>
      <c r="O184" s="11">
        <f t="shared" si="17"/>
        <v>15.411983240223464</v>
      </c>
      <c r="P184" s="12">
        <v>1353</v>
      </c>
      <c r="Q184">
        <v>358</v>
      </c>
      <c r="R184" s="14">
        <v>2.44</v>
      </c>
      <c r="S184" s="11">
        <v>11246.14</v>
      </c>
      <c r="T184" s="15">
        <v>103.83</v>
      </c>
      <c r="U184" t="s">
        <v>47</v>
      </c>
    </row>
    <row r="185" spans="1:21" x14ac:dyDescent="0.3">
      <c r="A185" s="10">
        <v>45978</v>
      </c>
      <c r="B185" t="s">
        <v>28</v>
      </c>
      <c r="C185" t="s">
        <v>29</v>
      </c>
      <c r="D185" s="11">
        <v>6832.77</v>
      </c>
      <c r="E185" s="11">
        <v>5624.76</v>
      </c>
      <c r="F185" s="12">
        <v>324110</v>
      </c>
      <c r="G185" s="12">
        <v>29336</v>
      </c>
      <c r="H185" s="13">
        <f t="shared" si="12"/>
        <v>9.0512480330751904E-2</v>
      </c>
      <c r="I185">
        <v>0.19</v>
      </c>
      <c r="J185">
        <v>17.350000000000001</v>
      </c>
      <c r="K185">
        <f t="shared" si="13"/>
        <v>3.7741023617007654</v>
      </c>
      <c r="L185">
        <f t="shared" si="14"/>
        <v>2.7741023617007654</v>
      </c>
      <c r="M185">
        <f t="shared" si="15"/>
        <v>0</v>
      </c>
      <c r="N185" s="11">
        <f t="shared" si="16"/>
        <v>7.0221722846441947</v>
      </c>
      <c r="O185" s="11">
        <f t="shared" si="17"/>
        <v>12.09625806451613</v>
      </c>
      <c r="P185" s="12">
        <v>801</v>
      </c>
      <c r="Q185">
        <v>465</v>
      </c>
      <c r="R185" s="14">
        <v>1.59</v>
      </c>
      <c r="S185" s="11">
        <v>21228.42</v>
      </c>
      <c r="T185" s="15">
        <v>277.41000000000003</v>
      </c>
      <c r="U185" t="s">
        <v>47</v>
      </c>
    </row>
    <row r="186" spans="1:21" x14ac:dyDescent="0.3">
      <c r="A186" s="10">
        <v>45985</v>
      </c>
      <c r="B186" t="s">
        <v>21</v>
      </c>
      <c r="C186" t="s">
        <v>37</v>
      </c>
      <c r="D186" s="11">
        <v>6825.5</v>
      </c>
      <c r="E186" s="11">
        <v>5164.53</v>
      </c>
      <c r="F186" s="12">
        <v>951408</v>
      </c>
      <c r="G186" s="12">
        <v>31448</v>
      </c>
      <c r="H186" s="13">
        <f t="shared" si="12"/>
        <v>3.3054168138169956E-2</v>
      </c>
      <c r="I186">
        <v>0.16</v>
      </c>
      <c r="J186">
        <v>5.43</v>
      </c>
      <c r="K186">
        <f t="shared" si="13"/>
        <v>2.0737840616667929</v>
      </c>
      <c r="L186">
        <f t="shared" si="14"/>
        <v>1.0737840616667929</v>
      </c>
      <c r="M186">
        <f t="shared" si="15"/>
        <v>0</v>
      </c>
      <c r="N186" s="11">
        <f t="shared" si="16"/>
        <v>7.7896380090497734</v>
      </c>
      <c r="O186" s="11">
        <f t="shared" si="17"/>
        <v>21.079714285714285</v>
      </c>
      <c r="P186" s="12">
        <v>663</v>
      </c>
      <c r="Q186">
        <v>245</v>
      </c>
      <c r="R186" s="14">
        <v>0.78</v>
      </c>
      <c r="S186" s="11">
        <v>10710.12</v>
      </c>
      <c r="T186" s="15">
        <v>107.38</v>
      </c>
      <c r="U186" t="s">
        <v>47</v>
      </c>
    </row>
    <row r="187" spans="1:21" x14ac:dyDescent="0.3">
      <c r="A187" s="10">
        <v>45985</v>
      </c>
      <c r="B187" t="s">
        <v>24</v>
      </c>
      <c r="C187" t="s">
        <v>30</v>
      </c>
      <c r="D187" s="11">
        <v>10230.34</v>
      </c>
      <c r="E187" s="11">
        <v>9070.59</v>
      </c>
      <c r="F187" s="12">
        <v>426229</v>
      </c>
      <c r="G187" s="12">
        <v>47328</v>
      </c>
      <c r="H187" s="13">
        <f t="shared" si="12"/>
        <v>0.11103890162330578</v>
      </c>
      <c r="I187">
        <v>0.19</v>
      </c>
      <c r="J187">
        <v>21.28</v>
      </c>
      <c r="K187">
        <f t="shared" si="13"/>
        <v>3.0331422763017621</v>
      </c>
      <c r="L187">
        <f t="shared" si="14"/>
        <v>2.0331422763017621</v>
      </c>
      <c r="M187">
        <f t="shared" si="15"/>
        <v>0</v>
      </c>
      <c r="N187" s="11">
        <f t="shared" si="16"/>
        <v>2.5133250207813798</v>
      </c>
      <c r="O187" s="11">
        <f t="shared" si="17"/>
        <v>33.972247191011235</v>
      </c>
      <c r="P187" s="12">
        <v>3609</v>
      </c>
      <c r="Q187">
        <v>267</v>
      </c>
      <c r="R187" s="14">
        <v>0.56000000000000005</v>
      </c>
      <c r="S187" s="11">
        <v>27512.39</v>
      </c>
      <c r="T187" s="15">
        <v>203.31</v>
      </c>
      <c r="U187" t="s">
        <v>47</v>
      </c>
    </row>
    <row r="188" spans="1:21" x14ac:dyDescent="0.3">
      <c r="A188" s="10">
        <v>45985</v>
      </c>
      <c r="B188" t="s">
        <v>26</v>
      </c>
      <c r="C188" t="s">
        <v>36</v>
      </c>
      <c r="D188" s="11">
        <v>10310.85</v>
      </c>
      <c r="E188" s="11">
        <v>8232.44</v>
      </c>
      <c r="F188" s="12">
        <v>404909</v>
      </c>
      <c r="G188" s="12">
        <v>15100</v>
      </c>
      <c r="H188" s="13">
        <f t="shared" si="12"/>
        <v>3.7292329881528939E-2</v>
      </c>
      <c r="I188">
        <v>0.55000000000000004</v>
      </c>
      <c r="J188">
        <v>20.329999999999998</v>
      </c>
      <c r="K188">
        <f t="shared" si="13"/>
        <v>3.7303351132835463</v>
      </c>
      <c r="L188">
        <f t="shared" si="14"/>
        <v>2.7303351132835463</v>
      </c>
      <c r="M188">
        <f t="shared" si="15"/>
        <v>0</v>
      </c>
      <c r="N188" s="11">
        <f t="shared" si="16"/>
        <v>3.2746380270485282</v>
      </c>
      <c r="O188" s="11">
        <f t="shared" si="17"/>
        <v>6.0178654970760235</v>
      </c>
      <c r="P188" s="12">
        <v>2514</v>
      </c>
      <c r="Q188">
        <v>1368</v>
      </c>
      <c r="R188" s="14">
        <v>9.06</v>
      </c>
      <c r="S188" s="11">
        <v>30709.759999999998</v>
      </c>
      <c r="T188" s="15">
        <v>273.02999999999997</v>
      </c>
      <c r="U188" t="s">
        <v>47</v>
      </c>
    </row>
    <row r="189" spans="1:21" x14ac:dyDescent="0.3">
      <c r="A189" s="10">
        <v>45985</v>
      </c>
      <c r="B189" t="s">
        <v>28</v>
      </c>
      <c r="C189" t="s">
        <v>31</v>
      </c>
      <c r="D189" s="11">
        <v>9991.48</v>
      </c>
      <c r="E189" s="11">
        <v>9452.0300000000007</v>
      </c>
      <c r="F189" s="12">
        <v>958059</v>
      </c>
      <c r="G189" s="12">
        <v>37713</v>
      </c>
      <c r="H189" s="13">
        <f t="shared" si="12"/>
        <v>3.9363964014742306E-2</v>
      </c>
      <c r="I189">
        <v>0.25</v>
      </c>
      <c r="J189">
        <v>9.8699999999999992</v>
      </c>
      <c r="K189">
        <f t="shared" si="13"/>
        <v>2.8884282000797707</v>
      </c>
      <c r="L189">
        <f t="shared" si="14"/>
        <v>1.8884282000797707</v>
      </c>
      <c r="M189">
        <f t="shared" si="15"/>
        <v>0</v>
      </c>
      <c r="N189" s="11">
        <f t="shared" si="16"/>
        <v>2.5456584971720981</v>
      </c>
      <c r="O189" s="11">
        <f t="shared" si="17"/>
        <v>2.9658079698776278</v>
      </c>
      <c r="P189" s="12">
        <v>3713</v>
      </c>
      <c r="Q189">
        <v>3187</v>
      </c>
      <c r="R189" s="14">
        <v>8.4499999999999993</v>
      </c>
      <c r="S189" s="11">
        <v>27301.51</v>
      </c>
      <c r="T189" s="15">
        <v>188.84</v>
      </c>
      <c r="U189" t="s">
        <v>47</v>
      </c>
    </row>
    <row r="190" spans="1:21" x14ac:dyDescent="0.3">
      <c r="A190" s="10">
        <v>45992</v>
      </c>
      <c r="B190" t="s">
        <v>21</v>
      </c>
      <c r="C190" t="s">
        <v>37</v>
      </c>
      <c r="D190" s="11">
        <v>7140.17</v>
      </c>
      <c r="E190" s="11">
        <v>5699.53</v>
      </c>
      <c r="F190" s="12">
        <v>790673</v>
      </c>
      <c r="G190" s="12">
        <v>6910</v>
      </c>
      <c r="H190" s="13">
        <f t="shared" si="12"/>
        <v>8.739390367446467E-3</v>
      </c>
      <c r="I190">
        <v>0.82</v>
      </c>
      <c r="J190">
        <v>7.21</v>
      </c>
      <c r="K190">
        <f t="shared" si="13"/>
        <v>1.8026153033671197</v>
      </c>
      <c r="L190">
        <f t="shared" si="14"/>
        <v>0.80261530336711973</v>
      </c>
      <c r="M190">
        <f t="shared" si="15"/>
        <v>0</v>
      </c>
      <c r="N190" s="11">
        <f t="shared" si="16"/>
        <v>3.8904641638225255</v>
      </c>
      <c r="O190" s="11">
        <f t="shared" si="17"/>
        <v>93.434918032786882</v>
      </c>
      <c r="P190" s="12">
        <v>1465</v>
      </c>
      <c r="Q190">
        <v>61</v>
      </c>
      <c r="R190" s="14">
        <v>0.88</v>
      </c>
      <c r="S190" s="11">
        <v>10274.06</v>
      </c>
      <c r="T190" s="15">
        <v>80.260000000000005</v>
      </c>
      <c r="U190" t="s">
        <v>48</v>
      </c>
    </row>
    <row r="191" spans="1:21" x14ac:dyDescent="0.3">
      <c r="A191" s="10">
        <v>45992</v>
      </c>
      <c r="B191" t="s">
        <v>24</v>
      </c>
      <c r="C191" t="s">
        <v>30</v>
      </c>
      <c r="D191" s="11">
        <v>10554.23</v>
      </c>
      <c r="E191" s="11">
        <v>9106.18</v>
      </c>
      <c r="F191" s="12">
        <v>1320121</v>
      </c>
      <c r="G191" s="12">
        <v>19893</v>
      </c>
      <c r="H191" s="13">
        <f t="shared" si="12"/>
        <v>1.5069073213743286E-2</v>
      </c>
      <c r="I191">
        <v>0.46</v>
      </c>
      <c r="J191">
        <v>6.9</v>
      </c>
      <c r="K191">
        <f t="shared" si="13"/>
        <v>3.38481668493265</v>
      </c>
      <c r="L191">
        <f t="shared" si="14"/>
        <v>2.38481668493265</v>
      </c>
      <c r="M191">
        <f t="shared" si="15"/>
        <v>0</v>
      </c>
      <c r="N191" s="11">
        <f t="shared" si="16"/>
        <v>9.6771307120085019</v>
      </c>
      <c r="O191" s="11">
        <f t="shared" si="17"/>
        <v>24.544959568733155</v>
      </c>
      <c r="P191" s="12">
        <v>941</v>
      </c>
      <c r="Q191">
        <v>371</v>
      </c>
      <c r="R191" s="14">
        <v>1.86</v>
      </c>
      <c r="S191" s="11">
        <v>30822.75</v>
      </c>
      <c r="T191" s="15">
        <v>238.48</v>
      </c>
      <c r="U191" t="s">
        <v>48</v>
      </c>
    </row>
    <row r="192" spans="1:21" x14ac:dyDescent="0.3">
      <c r="A192" s="10">
        <v>45992</v>
      </c>
      <c r="B192" t="s">
        <v>26</v>
      </c>
      <c r="C192" t="s">
        <v>27</v>
      </c>
      <c r="D192" s="11">
        <v>8911.17</v>
      </c>
      <c r="E192" s="11">
        <v>8148.24</v>
      </c>
      <c r="F192" s="12">
        <v>815090</v>
      </c>
      <c r="G192" s="12">
        <v>20496</v>
      </c>
      <c r="H192" s="13">
        <f t="shared" si="12"/>
        <v>2.5145689433068739E-2</v>
      </c>
      <c r="I192">
        <v>0.4</v>
      </c>
      <c r="J192">
        <v>10</v>
      </c>
      <c r="K192">
        <f t="shared" si="13"/>
        <v>1.8479193052732861</v>
      </c>
      <c r="L192">
        <f t="shared" si="14"/>
        <v>0.84791930527328618</v>
      </c>
      <c r="M192">
        <f t="shared" si="15"/>
        <v>0</v>
      </c>
      <c r="N192" s="11">
        <f t="shared" si="16"/>
        <v>3.2737002812374447</v>
      </c>
      <c r="O192" s="11">
        <f t="shared" si="17"/>
        <v>3.5863732394366195</v>
      </c>
      <c r="P192" s="12">
        <v>2489</v>
      </c>
      <c r="Q192">
        <v>2272</v>
      </c>
      <c r="R192" s="14">
        <v>11.09</v>
      </c>
      <c r="S192" s="11">
        <v>15057.29</v>
      </c>
      <c r="T192" s="15">
        <v>84.79</v>
      </c>
      <c r="U192" t="s">
        <v>48</v>
      </c>
    </row>
    <row r="193" spans="1:21" x14ac:dyDescent="0.3">
      <c r="A193" s="10">
        <v>45992</v>
      </c>
      <c r="B193" t="s">
        <v>28</v>
      </c>
      <c r="C193" t="s">
        <v>29</v>
      </c>
      <c r="D193" s="11">
        <v>7589.75</v>
      </c>
      <c r="E193" s="11">
        <v>6536.22</v>
      </c>
      <c r="F193" s="12">
        <v>1450001</v>
      </c>
      <c r="G193" s="12">
        <v>36672</v>
      </c>
      <c r="H193" s="13">
        <f t="shared" si="12"/>
        <v>2.5291017040677904E-2</v>
      </c>
      <c r="I193">
        <v>0.18</v>
      </c>
      <c r="J193">
        <v>4.51</v>
      </c>
      <c r="K193">
        <f t="shared" si="13"/>
        <v>4.3970949570240903</v>
      </c>
      <c r="L193">
        <f t="shared" si="14"/>
        <v>3.3970949570240903</v>
      </c>
      <c r="M193">
        <f t="shared" si="15"/>
        <v>0</v>
      </c>
      <c r="N193" s="11">
        <f t="shared" si="16"/>
        <v>2.581445497630332</v>
      </c>
      <c r="O193" s="11">
        <f t="shared" si="17"/>
        <v>20.17351851851852</v>
      </c>
      <c r="P193" s="12">
        <v>2532</v>
      </c>
      <c r="Q193">
        <v>324</v>
      </c>
      <c r="R193" s="14">
        <v>0.88</v>
      </c>
      <c r="S193" s="11">
        <v>28740.38</v>
      </c>
      <c r="T193" s="15">
        <v>339.71</v>
      </c>
      <c r="U193" t="s">
        <v>48</v>
      </c>
    </row>
    <row r="194" spans="1:21" x14ac:dyDescent="0.3">
      <c r="A194" s="10">
        <v>45999</v>
      </c>
      <c r="B194" t="s">
        <v>21</v>
      </c>
      <c r="C194" t="s">
        <v>22</v>
      </c>
      <c r="D194" s="11">
        <v>10507.21</v>
      </c>
      <c r="E194" s="11">
        <v>8511.32</v>
      </c>
      <c r="F194" s="12">
        <v>840957</v>
      </c>
      <c r="G194" s="12">
        <v>25828</v>
      </c>
      <c r="H194" s="13">
        <f t="shared" ref="H194:H209" si="18">IF(F194 = 0,0,G194/F194)</f>
        <v>3.071262858861987E-2</v>
      </c>
      <c r="I194">
        <v>0.33</v>
      </c>
      <c r="J194">
        <v>10.119999999999999</v>
      </c>
      <c r="K194">
        <f t="shared" ref="K194:K209" si="19">IF(E194=0,0,S194/E194)</f>
        <v>3.0437546702509128</v>
      </c>
      <c r="L194">
        <f t="shared" ref="L194:L209" si="20">IF(E194=0,0,(S194-E194)/E194)</f>
        <v>2.0437546702509128</v>
      </c>
      <c r="M194">
        <f t="shared" ref="M194:M209" si="21">IF(T194&lt;0,1,0)</f>
        <v>0</v>
      </c>
      <c r="N194" s="11">
        <f t="shared" ref="N194:N209" si="22">IF(P194=0,0,E194/P194)</f>
        <v>2.9916766256590508</v>
      </c>
      <c r="O194" s="11">
        <f t="shared" ref="O194:O209" si="23">IF(Q194=0,0,E194/Q194)</f>
        <v>7.3310249784668384</v>
      </c>
      <c r="P194" s="12">
        <v>2845</v>
      </c>
      <c r="Q194">
        <v>1161</v>
      </c>
      <c r="R194" s="14">
        <v>4.5</v>
      </c>
      <c r="S194" s="11">
        <v>25906.37</v>
      </c>
      <c r="T194" s="15">
        <v>204.38</v>
      </c>
      <c r="U194" t="s">
        <v>48</v>
      </c>
    </row>
    <row r="195" spans="1:21" x14ac:dyDescent="0.3">
      <c r="A195" s="10">
        <v>45999</v>
      </c>
      <c r="B195" t="s">
        <v>24</v>
      </c>
      <c r="C195" t="s">
        <v>30</v>
      </c>
      <c r="D195" s="11">
        <v>9400.36</v>
      </c>
      <c r="E195" s="11">
        <v>8926.4</v>
      </c>
      <c r="F195" s="12">
        <v>1165022</v>
      </c>
      <c r="G195" s="12">
        <v>47443</v>
      </c>
      <c r="H195" s="13">
        <f t="shared" si="18"/>
        <v>4.0722836135283283E-2</v>
      </c>
      <c r="I195">
        <v>0.19</v>
      </c>
      <c r="J195">
        <v>7.66</v>
      </c>
      <c r="K195">
        <f t="shared" si="19"/>
        <v>2.1026214375336081</v>
      </c>
      <c r="L195">
        <f t="shared" si="20"/>
        <v>1.1026214375336083</v>
      </c>
      <c r="M195">
        <f t="shared" si="21"/>
        <v>0</v>
      </c>
      <c r="N195" s="11">
        <f t="shared" si="22"/>
        <v>9.2214876033057855</v>
      </c>
      <c r="O195" s="11">
        <f t="shared" si="23"/>
        <v>30.887197231833909</v>
      </c>
      <c r="P195" s="12">
        <v>968</v>
      </c>
      <c r="Q195">
        <v>289</v>
      </c>
      <c r="R195" s="14">
        <v>0.61</v>
      </c>
      <c r="S195" s="11">
        <v>18768.84</v>
      </c>
      <c r="T195" s="15">
        <v>110.26</v>
      </c>
      <c r="U195" t="s">
        <v>48</v>
      </c>
    </row>
    <row r="196" spans="1:21" x14ac:dyDescent="0.3">
      <c r="A196" s="10">
        <v>45999</v>
      </c>
      <c r="B196" t="s">
        <v>26</v>
      </c>
      <c r="C196" t="s">
        <v>36</v>
      </c>
      <c r="D196" s="11">
        <v>5395.13</v>
      </c>
      <c r="E196" s="11">
        <v>4597.91</v>
      </c>
      <c r="F196" s="12">
        <v>1008115</v>
      </c>
      <c r="G196" s="12">
        <v>40996</v>
      </c>
      <c r="H196" s="13">
        <f t="shared" si="18"/>
        <v>4.0665995446948017E-2</v>
      </c>
      <c r="I196">
        <v>0.11</v>
      </c>
      <c r="J196">
        <v>4.5599999999999996</v>
      </c>
      <c r="K196">
        <f t="shared" si="19"/>
        <v>4.676885802462424</v>
      </c>
      <c r="L196">
        <f t="shared" si="20"/>
        <v>3.6768858024624236</v>
      </c>
      <c r="M196">
        <f t="shared" si="21"/>
        <v>0</v>
      </c>
      <c r="N196" s="11">
        <f t="shared" si="22"/>
        <v>9.1591832669322706</v>
      </c>
      <c r="O196" s="11">
        <f t="shared" si="23"/>
        <v>15.12470394736842</v>
      </c>
      <c r="P196" s="12">
        <v>502</v>
      </c>
      <c r="Q196">
        <v>304</v>
      </c>
      <c r="R196" s="14">
        <v>0.74</v>
      </c>
      <c r="S196" s="11">
        <v>21503.9</v>
      </c>
      <c r="T196" s="15">
        <v>367.69</v>
      </c>
      <c r="U196" t="s">
        <v>48</v>
      </c>
    </row>
    <row r="197" spans="1:21" x14ac:dyDescent="0.3">
      <c r="A197" s="10">
        <v>45999</v>
      </c>
      <c r="B197" t="s">
        <v>28</v>
      </c>
      <c r="C197" t="s">
        <v>35</v>
      </c>
      <c r="D197" s="11">
        <v>11591.26</v>
      </c>
      <c r="E197" s="11">
        <v>9332.07</v>
      </c>
      <c r="F197" s="12">
        <v>193554</v>
      </c>
      <c r="G197" s="12">
        <v>3177</v>
      </c>
      <c r="H197" s="13">
        <f t="shared" si="18"/>
        <v>1.6414023993304196E-2</v>
      </c>
      <c r="I197">
        <v>2.94</v>
      </c>
      <c r="J197">
        <v>48.21</v>
      </c>
      <c r="K197">
        <f t="shared" si="19"/>
        <v>4.4497673077891617</v>
      </c>
      <c r="L197">
        <f t="shared" si="20"/>
        <v>3.4497673077891617</v>
      </c>
      <c r="M197">
        <f t="shared" si="21"/>
        <v>0</v>
      </c>
      <c r="N197" s="11">
        <f t="shared" si="22"/>
        <v>6.6992605886575731</v>
      </c>
      <c r="O197" s="11">
        <f t="shared" si="23"/>
        <v>8.2804525288376212</v>
      </c>
      <c r="P197" s="12">
        <v>1393</v>
      </c>
      <c r="Q197">
        <v>1127</v>
      </c>
      <c r="R197" s="14">
        <v>35.47</v>
      </c>
      <c r="S197" s="11">
        <v>41525.54</v>
      </c>
      <c r="T197" s="15">
        <v>344.98</v>
      </c>
      <c r="U197" t="s">
        <v>48</v>
      </c>
    </row>
    <row r="198" spans="1:21" x14ac:dyDescent="0.3">
      <c r="A198" s="10">
        <v>46006</v>
      </c>
      <c r="B198" t="s">
        <v>21</v>
      </c>
      <c r="C198" t="s">
        <v>32</v>
      </c>
      <c r="D198" s="11">
        <v>9793.6</v>
      </c>
      <c r="E198" s="11">
        <v>8875.2099999999991</v>
      </c>
      <c r="F198" s="12">
        <v>587493</v>
      </c>
      <c r="G198" s="12">
        <v>16573</v>
      </c>
      <c r="H198" s="13">
        <f t="shared" si="18"/>
        <v>2.8209697817676127E-2</v>
      </c>
      <c r="I198">
        <v>0.54</v>
      </c>
      <c r="J198">
        <v>15.11</v>
      </c>
      <c r="K198">
        <f t="shared" si="19"/>
        <v>4.4146561039119074</v>
      </c>
      <c r="L198">
        <f t="shared" si="20"/>
        <v>3.4146561039119079</v>
      </c>
      <c r="M198">
        <f t="shared" si="21"/>
        <v>0</v>
      </c>
      <c r="N198" s="11">
        <f t="shared" si="22"/>
        <v>33.618219696969696</v>
      </c>
      <c r="O198" s="11">
        <f t="shared" si="23"/>
        <v>45.513897435897434</v>
      </c>
      <c r="P198" s="12">
        <v>264</v>
      </c>
      <c r="Q198">
        <v>195</v>
      </c>
      <c r="R198" s="14">
        <v>1.18</v>
      </c>
      <c r="S198" s="11">
        <v>39181</v>
      </c>
      <c r="T198" s="15">
        <v>341.47</v>
      </c>
      <c r="U198" t="s">
        <v>48</v>
      </c>
    </row>
    <row r="199" spans="1:21" x14ac:dyDescent="0.3">
      <c r="A199" s="10">
        <v>46006</v>
      </c>
      <c r="B199" t="s">
        <v>24</v>
      </c>
      <c r="C199" t="s">
        <v>30</v>
      </c>
      <c r="D199" s="11">
        <v>3310.82</v>
      </c>
      <c r="E199" s="11">
        <v>3001.91</v>
      </c>
      <c r="F199" s="12">
        <v>1250208</v>
      </c>
      <c r="G199" s="12">
        <v>3380</v>
      </c>
      <c r="H199" s="13">
        <f t="shared" si="18"/>
        <v>2.7035501292584914E-3</v>
      </c>
      <c r="I199">
        <v>0.89</v>
      </c>
      <c r="J199">
        <v>2.4</v>
      </c>
      <c r="K199">
        <f t="shared" si="19"/>
        <v>3.4634016342928335</v>
      </c>
      <c r="L199">
        <f t="shared" si="20"/>
        <v>2.4634016342928335</v>
      </c>
      <c r="M199">
        <f t="shared" si="21"/>
        <v>0</v>
      </c>
      <c r="N199" s="11">
        <f t="shared" si="22"/>
        <v>0.87621424401634551</v>
      </c>
      <c r="O199" s="11">
        <f t="shared" si="23"/>
        <v>1.4600729571984434</v>
      </c>
      <c r="P199" s="12">
        <v>3426</v>
      </c>
      <c r="Q199">
        <v>2056</v>
      </c>
      <c r="R199" s="14">
        <v>60.83</v>
      </c>
      <c r="S199" s="11">
        <v>10396.82</v>
      </c>
      <c r="T199" s="15">
        <v>246.34</v>
      </c>
      <c r="U199" t="s">
        <v>48</v>
      </c>
    </row>
    <row r="200" spans="1:21" x14ac:dyDescent="0.3">
      <c r="A200" s="10">
        <v>46006</v>
      </c>
      <c r="B200" t="s">
        <v>26</v>
      </c>
      <c r="C200" t="s">
        <v>27</v>
      </c>
      <c r="D200" s="11">
        <v>8132.42</v>
      </c>
      <c r="E200" s="11">
        <v>7426.55</v>
      </c>
      <c r="F200" s="12">
        <v>395116</v>
      </c>
      <c r="G200" s="12">
        <v>31308</v>
      </c>
      <c r="H200" s="13">
        <f t="shared" si="18"/>
        <v>7.923748974984561E-2</v>
      </c>
      <c r="I200">
        <v>0.24</v>
      </c>
      <c r="J200">
        <v>18.8</v>
      </c>
      <c r="K200">
        <f t="shared" si="19"/>
        <v>2.7804310211336349</v>
      </c>
      <c r="L200">
        <f t="shared" si="20"/>
        <v>1.7804310211336352</v>
      </c>
      <c r="M200">
        <f t="shared" si="21"/>
        <v>0</v>
      </c>
      <c r="N200" s="11">
        <f t="shared" si="22"/>
        <v>12.587372881355932</v>
      </c>
      <c r="O200" s="11">
        <f t="shared" si="23"/>
        <v>45.842901234567904</v>
      </c>
      <c r="P200" s="12">
        <v>590</v>
      </c>
      <c r="Q200">
        <v>162</v>
      </c>
      <c r="R200" s="14">
        <v>0.52</v>
      </c>
      <c r="S200" s="11">
        <v>20649.009999999998</v>
      </c>
      <c r="T200" s="15">
        <v>178.04</v>
      </c>
      <c r="U200" t="s">
        <v>48</v>
      </c>
    </row>
    <row r="201" spans="1:21" x14ac:dyDescent="0.3">
      <c r="A201" s="10">
        <v>46006</v>
      </c>
      <c r="B201" t="s">
        <v>28</v>
      </c>
      <c r="C201" t="s">
        <v>31</v>
      </c>
      <c r="D201" s="11">
        <v>11840.61</v>
      </c>
      <c r="E201" s="11">
        <v>9467.99</v>
      </c>
      <c r="F201" s="12">
        <v>1396592</v>
      </c>
      <c r="G201" s="12">
        <v>40662</v>
      </c>
      <c r="H201" s="13">
        <f t="shared" si="18"/>
        <v>2.9115160333153849E-2</v>
      </c>
      <c r="I201">
        <v>0.23</v>
      </c>
      <c r="J201">
        <v>6.78</v>
      </c>
      <c r="K201">
        <f t="shared" si="19"/>
        <v>4.0288963127337487</v>
      </c>
      <c r="L201">
        <f t="shared" si="20"/>
        <v>3.0288963127337487</v>
      </c>
      <c r="M201">
        <f t="shared" si="21"/>
        <v>0</v>
      </c>
      <c r="N201" s="11">
        <f t="shared" si="22"/>
        <v>13.506405135520684</v>
      </c>
      <c r="O201" s="11">
        <f t="shared" si="23"/>
        <v>25.383351206434316</v>
      </c>
      <c r="P201" s="12">
        <v>701</v>
      </c>
      <c r="Q201">
        <v>373</v>
      </c>
      <c r="R201" s="14">
        <v>0.92</v>
      </c>
      <c r="S201" s="11">
        <v>38145.550000000003</v>
      </c>
      <c r="T201" s="15">
        <v>302.89</v>
      </c>
      <c r="U201" t="s">
        <v>48</v>
      </c>
    </row>
    <row r="202" spans="1:21" x14ac:dyDescent="0.3">
      <c r="A202" s="10">
        <v>46013</v>
      </c>
      <c r="B202" t="s">
        <v>21</v>
      </c>
      <c r="C202" t="s">
        <v>22</v>
      </c>
      <c r="D202" s="11">
        <v>3994.73</v>
      </c>
      <c r="E202" s="11">
        <v>3387.61</v>
      </c>
      <c r="F202" s="12">
        <v>395192</v>
      </c>
      <c r="G202" s="12">
        <v>22259</v>
      </c>
      <c r="H202" s="13">
        <f t="shared" si="18"/>
        <v>5.6324520739286218E-2</v>
      </c>
      <c r="I202">
        <v>0.15</v>
      </c>
      <c r="J202">
        <v>8.57</v>
      </c>
      <c r="K202">
        <f t="shared" si="19"/>
        <v>2.3806843172620225</v>
      </c>
      <c r="L202">
        <f t="shared" si="20"/>
        <v>1.3806843172620222</v>
      </c>
      <c r="M202">
        <f t="shared" si="21"/>
        <v>0</v>
      </c>
      <c r="N202" s="11">
        <f t="shared" si="22"/>
        <v>2.4459277978339351</v>
      </c>
      <c r="O202" s="11">
        <f t="shared" si="23"/>
        <v>4.2029900744416873</v>
      </c>
      <c r="P202" s="12">
        <v>1385</v>
      </c>
      <c r="Q202">
        <v>806</v>
      </c>
      <c r="R202" s="14">
        <v>3.62</v>
      </c>
      <c r="S202" s="11">
        <v>8064.83</v>
      </c>
      <c r="T202" s="15">
        <v>138.07</v>
      </c>
      <c r="U202" t="s">
        <v>48</v>
      </c>
    </row>
    <row r="203" spans="1:21" x14ac:dyDescent="0.3">
      <c r="A203" s="10">
        <v>46013</v>
      </c>
      <c r="B203" t="s">
        <v>24</v>
      </c>
      <c r="C203" t="s">
        <v>30</v>
      </c>
      <c r="D203" s="11">
        <v>9460.64</v>
      </c>
      <c r="E203" s="11">
        <v>8428.8700000000008</v>
      </c>
      <c r="F203" s="12">
        <v>1463412</v>
      </c>
      <c r="G203" s="12">
        <v>55552</v>
      </c>
      <c r="H203" s="13">
        <f t="shared" si="18"/>
        <v>3.7960601662416327E-2</v>
      </c>
      <c r="I203">
        <v>0.15</v>
      </c>
      <c r="J203">
        <v>5.76</v>
      </c>
      <c r="K203">
        <f t="shared" si="19"/>
        <v>1.7230411668468015</v>
      </c>
      <c r="L203">
        <f t="shared" si="20"/>
        <v>0.72304116684680142</v>
      </c>
      <c r="M203">
        <f t="shared" si="21"/>
        <v>0</v>
      </c>
      <c r="N203" s="11">
        <f t="shared" si="22"/>
        <v>4.5487695628710201</v>
      </c>
      <c r="O203" s="11">
        <f t="shared" si="23"/>
        <v>6.0508758076094766</v>
      </c>
      <c r="P203" s="12">
        <v>1853</v>
      </c>
      <c r="Q203">
        <v>1393</v>
      </c>
      <c r="R203" s="14">
        <v>2.5099999999999998</v>
      </c>
      <c r="S203" s="11">
        <v>14523.29</v>
      </c>
      <c r="T203" s="15">
        <v>72.3</v>
      </c>
      <c r="U203" t="s">
        <v>48</v>
      </c>
    </row>
    <row r="204" spans="1:21" x14ac:dyDescent="0.3">
      <c r="A204" s="10">
        <v>46013</v>
      </c>
      <c r="B204" t="s">
        <v>26</v>
      </c>
      <c r="C204" t="s">
        <v>36</v>
      </c>
      <c r="D204" s="11">
        <v>5575.84</v>
      </c>
      <c r="E204" s="11">
        <v>4779.08</v>
      </c>
      <c r="F204" s="12">
        <v>188235</v>
      </c>
      <c r="G204" s="12">
        <v>59069</v>
      </c>
      <c r="H204" s="13">
        <f t="shared" si="18"/>
        <v>0.31380455281961378</v>
      </c>
      <c r="I204">
        <v>0.08</v>
      </c>
      <c r="J204">
        <v>25.39</v>
      </c>
      <c r="K204">
        <f t="shared" si="19"/>
        <v>1.9614047055081729</v>
      </c>
      <c r="L204">
        <f t="shared" si="20"/>
        <v>0.96140470550817292</v>
      </c>
      <c r="M204">
        <f t="shared" si="21"/>
        <v>0</v>
      </c>
      <c r="N204" s="11">
        <f t="shared" si="22"/>
        <v>10.763693693693693</v>
      </c>
      <c r="O204" s="11">
        <f t="shared" si="23"/>
        <v>46.398834951456308</v>
      </c>
      <c r="P204" s="12">
        <v>444</v>
      </c>
      <c r="Q204">
        <v>103</v>
      </c>
      <c r="R204" s="14">
        <v>0.17</v>
      </c>
      <c r="S204" s="11">
        <v>9373.7099999999991</v>
      </c>
      <c r="T204" s="15">
        <v>96.14</v>
      </c>
      <c r="U204" t="s">
        <v>48</v>
      </c>
    </row>
    <row r="205" spans="1:21" x14ac:dyDescent="0.3">
      <c r="A205" s="10">
        <v>46013</v>
      </c>
      <c r="B205" t="s">
        <v>28</v>
      </c>
      <c r="C205" t="s">
        <v>31</v>
      </c>
      <c r="D205" s="11">
        <v>3683.12</v>
      </c>
      <c r="E205" s="11">
        <v>3427.26</v>
      </c>
      <c r="F205" s="12">
        <v>370639</v>
      </c>
      <c r="G205" s="12">
        <v>17535</v>
      </c>
      <c r="H205" s="13">
        <f t="shared" si="18"/>
        <v>4.7310185922150666E-2</v>
      </c>
      <c r="I205">
        <v>0.2</v>
      </c>
      <c r="J205">
        <v>9.25</v>
      </c>
      <c r="K205">
        <f t="shared" si="19"/>
        <v>3.821840187204939</v>
      </c>
      <c r="L205">
        <f t="shared" si="20"/>
        <v>2.821840187204939</v>
      </c>
      <c r="M205">
        <f t="shared" si="21"/>
        <v>0</v>
      </c>
      <c r="N205" s="11">
        <f t="shared" si="22"/>
        <v>1.1382464297575556</v>
      </c>
      <c r="O205" s="11">
        <f t="shared" si="23"/>
        <v>1.553608340888486</v>
      </c>
      <c r="P205" s="12">
        <v>3011</v>
      </c>
      <c r="Q205">
        <v>2206</v>
      </c>
      <c r="R205" s="14">
        <v>12.58</v>
      </c>
      <c r="S205" s="11">
        <v>13098.44</v>
      </c>
      <c r="T205" s="15">
        <v>282.18</v>
      </c>
      <c r="U205" t="s">
        <v>48</v>
      </c>
    </row>
    <row r="206" spans="1:21" x14ac:dyDescent="0.3">
      <c r="A206" s="10">
        <v>46020</v>
      </c>
      <c r="B206" t="s">
        <v>21</v>
      </c>
      <c r="C206" t="s">
        <v>37</v>
      </c>
      <c r="D206" s="11">
        <v>3008.32</v>
      </c>
      <c r="E206" s="11">
        <v>2688.98</v>
      </c>
      <c r="F206" s="12">
        <v>1044387</v>
      </c>
      <c r="G206" s="12">
        <v>54995</v>
      </c>
      <c r="H206" s="13">
        <f t="shared" si="18"/>
        <v>5.2657683406629921E-2</v>
      </c>
      <c r="I206">
        <v>0.05</v>
      </c>
      <c r="J206">
        <v>2.57</v>
      </c>
      <c r="K206">
        <f t="shared" si="19"/>
        <v>2.0047564504012674</v>
      </c>
      <c r="L206">
        <f t="shared" si="20"/>
        <v>1.0047564504012674</v>
      </c>
      <c r="M206">
        <f t="shared" si="21"/>
        <v>0</v>
      </c>
      <c r="N206" s="11">
        <f t="shared" si="22"/>
        <v>0.8906856575024843</v>
      </c>
      <c r="O206" s="11">
        <f t="shared" si="23"/>
        <v>2.8851716738197424</v>
      </c>
      <c r="P206" s="12">
        <v>3019</v>
      </c>
      <c r="Q206">
        <v>932</v>
      </c>
      <c r="R206" s="14">
        <v>1.69</v>
      </c>
      <c r="S206" s="11">
        <v>5390.75</v>
      </c>
      <c r="T206" s="15">
        <v>100.48</v>
      </c>
      <c r="U206" t="s">
        <v>48</v>
      </c>
    </row>
    <row r="207" spans="1:21" x14ac:dyDescent="0.3">
      <c r="A207" s="10">
        <v>46020</v>
      </c>
      <c r="B207" t="s">
        <v>24</v>
      </c>
      <c r="C207" t="s">
        <v>25</v>
      </c>
      <c r="D207" s="11">
        <v>4684.55</v>
      </c>
      <c r="E207" s="11">
        <v>4440.95</v>
      </c>
      <c r="F207" s="12">
        <v>1356662</v>
      </c>
      <c r="G207" s="12">
        <v>26878</v>
      </c>
      <c r="H207" s="13">
        <f t="shared" si="18"/>
        <v>1.9811861760703844E-2</v>
      </c>
      <c r="I207">
        <v>0.17</v>
      </c>
      <c r="J207">
        <v>3.27</v>
      </c>
      <c r="K207">
        <f t="shared" si="19"/>
        <v>1.7080061698510454</v>
      </c>
      <c r="L207">
        <f t="shared" si="20"/>
        <v>0.70800616985104547</v>
      </c>
      <c r="M207">
        <f t="shared" si="21"/>
        <v>0</v>
      </c>
      <c r="N207" s="11">
        <f t="shared" si="22"/>
        <v>3.5527599999999997</v>
      </c>
      <c r="O207" s="11">
        <f t="shared" si="23"/>
        <v>11.656036745406825</v>
      </c>
      <c r="P207" s="12">
        <v>1250</v>
      </c>
      <c r="Q207">
        <v>381</v>
      </c>
      <c r="R207" s="14">
        <v>1.42</v>
      </c>
      <c r="S207" s="11">
        <v>7585.17</v>
      </c>
      <c r="T207" s="15">
        <v>70.8</v>
      </c>
      <c r="U207" t="s">
        <v>48</v>
      </c>
    </row>
    <row r="208" spans="1:21" x14ac:dyDescent="0.3">
      <c r="A208" s="10">
        <v>46020</v>
      </c>
      <c r="B208" t="s">
        <v>26</v>
      </c>
      <c r="C208" t="s">
        <v>36</v>
      </c>
      <c r="D208" s="11">
        <v>6609.71</v>
      </c>
      <c r="E208" s="11">
        <v>6230.93</v>
      </c>
      <c r="F208" s="12">
        <v>389258</v>
      </c>
      <c r="G208" s="12">
        <v>43991</v>
      </c>
      <c r="H208" s="13">
        <f t="shared" si="18"/>
        <v>0.11301244932666767</v>
      </c>
      <c r="I208">
        <v>0.14000000000000001</v>
      </c>
      <c r="J208">
        <v>16.010000000000002</v>
      </c>
      <c r="K208">
        <f t="shared" si="19"/>
        <v>2.7454761969722012</v>
      </c>
      <c r="L208">
        <f t="shared" si="20"/>
        <v>1.7454761969722012</v>
      </c>
      <c r="M208">
        <f t="shared" si="21"/>
        <v>0</v>
      </c>
      <c r="N208" s="11">
        <f t="shared" si="22"/>
        <v>5.6955484460694699</v>
      </c>
      <c r="O208" s="11">
        <f t="shared" si="23"/>
        <v>7.9072715736040609</v>
      </c>
      <c r="P208" s="12">
        <v>1094</v>
      </c>
      <c r="Q208">
        <v>788</v>
      </c>
      <c r="R208" s="14">
        <v>1.79</v>
      </c>
      <c r="S208" s="11">
        <v>17106.87</v>
      </c>
      <c r="T208" s="15">
        <v>174.55</v>
      </c>
      <c r="U208" t="s">
        <v>48</v>
      </c>
    </row>
    <row r="209" spans="1:21" x14ac:dyDescent="0.3">
      <c r="A209" s="10">
        <v>46020</v>
      </c>
      <c r="B209" t="s">
        <v>28</v>
      </c>
      <c r="C209" t="s">
        <v>35</v>
      </c>
      <c r="D209" s="11">
        <v>9021.89</v>
      </c>
      <c r="E209" s="11">
        <v>7943.7</v>
      </c>
      <c r="F209" s="12">
        <v>1331529</v>
      </c>
      <c r="G209" s="12">
        <v>28218</v>
      </c>
      <c r="H209" s="13">
        <f t="shared" si="18"/>
        <v>2.1192178315305187E-2</v>
      </c>
      <c r="I209">
        <v>0.28000000000000003</v>
      </c>
      <c r="J209">
        <v>5.97</v>
      </c>
      <c r="K209">
        <f t="shared" si="19"/>
        <v>4.8935068041340939</v>
      </c>
      <c r="L209">
        <f t="shared" si="20"/>
        <v>3.8935068041340939</v>
      </c>
      <c r="M209">
        <f t="shared" si="21"/>
        <v>0</v>
      </c>
      <c r="N209" s="11">
        <f t="shared" si="22"/>
        <v>13.306030150753768</v>
      </c>
      <c r="O209" s="11">
        <f t="shared" si="23"/>
        <v>55.941549295774649</v>
      </c>
      <c r="P209" s="12">
        <v>597</v>
      </c>
      <c r="Q209">
        <v>142</v>
      </c>
      <c r="R209" s="14">
        <v>0.5</v>
      </c>
      <c r="S209" s="11">
        <v>38872.550000000003</v>
      </c>
      <c r="T209" s="15">
        <v>389.35</v>
      </c>
      <c r="U209" t="s"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Akinlolu Oyetakin</dc:creator>
  <cp:lastModifiedBy>Akinlolu Oyetakin</cp:lastModifiedBy>
  <dcterms:created xsi:type="dcterms:W3CDTF">2026-05-11T15:08:03Z</dcterms:created>
  <dcterms:modified xsi:type="dcterms:W3CDTF">2026-05-11T15:09:10Z</dcterms:modified>
</cp:coreProperties>
</file>